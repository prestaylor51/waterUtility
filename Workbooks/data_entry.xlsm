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52105820-8574-403F-ADDD-A6E940144EF7}" xr6:coauthVersionLast="33" xr6:coauthVersionMax="33" xr10:uidLastSave="{00000000-0000-0000-0000-000000000000}"/>
  <bookViews>
    <workbookView xWindow="0" yWindow="0" windowWidth="28800" windowHeight="13770" tabRatio="926" xr2:uid="{00000000-000D-0000-FFFF-FFFF00000000}"/>
  </bookViews>
  <sheets>
    <sheet name="SBFF Pump 1" sheetId="36" r:id="rId1"/>
    <sheet name="SBFF Pump 2" sheetId="37" r:id="rId2"/>
    <sheet name="SBFF Pump 3" sheetId="38" r:id="rId3"/>
    <sheet name="SBDW Pump 4" sheetId="39" r:id="rId4"/>
    <sheet name="SBDW Pump 5" sheetId="40" r:id="rId5"/>
  </sheets>
  <functionGroups builtInGroupCount="19"/>
  <definedNames>
    <definedName name="localhost">'SBFF Pump 1'!$N$17</definedName>
    <definedName name="_xlnm.Print_Area" localSheetId="3">'SBDW Pump 4'!$A$1:$L$37</definedName>
    <definedName name="_xlnm.Print_Area" localSheetId="4">'SBDW Pump 5'!$A$1:$L$37</definedName>
    <definedName name="_xlnm.Print_Area" localSheetId="0">'SBFF Pump 1'!$A$1:$L$36</definedName>
    <definedName name="_xlnm.Print_Area" localSheetId="1">'SBFF Pump 2'!$A$1:$L$36</definedName>
    <definedName name="_xlnm.Print_Area" localSheetId="2">'SBFF Pump 3'!$A$1:$L$36</definedName>
    <definedName name="serverURL">'SBFF Pump 1'!$N$16</definedName>
  </definedNames>
  <calcPr calcId="179017"/>
</workbook>
</file>

<file path=xl/calcChain.xml><?xml version="1.0" encoding="utf-8"?>
<calcChain xmlns="http://schemas.openxmlformats.org/spreadsheetml/2006/main">
  <c r="P20" i="39" l="1"/>
  <c r="K37" i="40"/>
  <c r="J37" i="40"/>
  <c r="I37" i="40"/>
  <c r="H37" i="40"/>
  <c r="G37" i="40"/>
  <c r="F37" i="40"/>
  <c r="E37" i="40"/>
  <c r="D37" i="40"/>
  <c r="C37" i="40"/>
  <c r="B37" i="40"/>
  <c r="K36" i="40"/>
  <c r="K35" i="40"/>
  <c r="J35" i="40"/>
  <c r="I35" i="40"/>
  <c r="H35" i="40"/>
  <c r="G35" i="40"/>
  <c r="F35" i="40"/>
  <c r="E35" i="40"/>
  <c r="D35" i="40"/>
  <c r="C35" i="40"/>
  <c r="B35" i="40"/>
  <c r="A35" i="40"/>
  <c r="K34" i="40"/>
  <c r="J34" i="40"/>
  <c r="I34" i="40"/>
  <c r="H34" i="40"/>
  <c r="G34" i="40"/>
  <c r="F34" i="40"/>
  <c r="E34" i="40"/>
  <c r="D34" i="40"/>
  <c r="C34" i="40"/>
  <c r="B34" i="40"/>
  <c r="A34" i="40"/>
  <c r="A22" i="40"/>
  <c r="C36" i="40" s="1"/>
  <c r="E17" i="40"/>
  <c r="H13" i="40"/>
  <c r="H12" i="40"/>
  <c r="H11" i="40"/>
  <c r="H10" i="40"/>
  <c r="H9" i="40"/>
  <c r="H8" i="40"/>
  <c r="H7" i="40"/>
  <c r="H6" i="40"/>
  <c r="H5" i="40"/>
  <c r="H4" i="40"/>
  <c r="B4" i="40"/>
  <c r="H3" i="40"/>
  <c r="N1" i="40"/>
  <c r="H13" i="39"/>
  <c r="K37" i="39"/>
  <c r="J37" i="39"/>
  <c r="I37" i="39"/>
  <c r="H37" i="39"/>
  <c r="G37" i="39"/>
  <c r="F37" i="39"/>
  <c r="E37" i="39"/>
  <c r="D37" i="39"/>
  <c r="C37" i="39"/>
  <c r="B37" i="39"/>
  <c r="K36" i="39"/>
  <c r="E36" i="39"/>
  <c r="K35" i="39"/>
  <c r="J35" i="39"/>
  <c r="I35" i="39"/>
  <c r="H35" i="39"/>
  <c r="G35" i="39"/>
  <c r="F35" i="39"/>
  <c r="E35" i="39"/>
  <c r="D35" i="39"/>
  <c r="C35" i="39"/>
  <c r="B35" i="39"/>
  <c r="A35" i="39"/>
  <c r="K34" i="39"/>
  <c r="J34" i="39"/>
  <c r="I34" i="39"/>
  <c r="H34" i="39"/>
  <c r="G34" i="39"/>
  <c r="F34" i="39"/>
  <c r="E34" i="39"/>
  <c r="D34" i="39"/>
  <c r="C34" i="39"/>
  <c r="B34" i="39"/>
  <c r="A34" i="39"/>
  <c r="A22" i="39"/>
  <c r="G36" i="39" s="1"/>
  <c r="E17" i="39"/>
  <c r="H12" i="39"/>
  <c r="H11" i="39"/>
  <c r="H10" i="39"/>
  <c r="H9" i="39"/>
  <c r="H8" i="39"/>
  <c r="H7" i="39"/>
  <c r="H6" i="39"/>
  <c r="H5" i="39"/>
  <c r="H4" i="39"/>
  <c r="B4" i="39"/>
  <c r="H3" i="39"/>
  <c r="N1" i="39"/>
  <c r="H36" i="39" l="1"/>
  <c r="I36" i="39"/>
  <c r="B36" i="39"/>
  <c r="J36" i="39"/>
  <c r="C36" i="39"/>
  <c r="D36" i="39"/>
  <c r="F36" i="39"/>
  <c r="K32" i="40"/>
  <c r="K38" i="40" s="1"/>
  <c r="Q12" i="40" s="1"/>
  <c r="P7" i="40"/>
  <c r="G36" i="40"/>
  <c r="P10" i="40"/>
  <c r="P6" i="40"/>
  <c r="P11" i="40"/>
  <c r="H36" i="40"/>
  <c r="O9" i="40" s="1"/>
  <c r="I36" i="40"/>
  <c r="O10" i="40" s="1"/>
  <c r="J36" i="40"/>
  <c r="O11" i="40" s="1"/>
  <c r="J32" i="39"/>
  <c r="C32" i="40"/>
  <c r="C33" i="40" s="1"/>
  <c r="C38" i="40" s="1"/>
  <c r="Q4" i="40" s="1"/>
  <c r="E36" i="40"/>
  <c r="O6" i="40" s="1"/>
  <c r="H32" i="40"/>
  <c r="H33" i="40" s="1"/>
  <c r="B32" i="40"/>
  <c r="B33" i="40" s="1"/>
  <c r="J32" i="40"/>
  <c r="D32" i="40"/>
  <c r="D33" i="40" s="1"/>
  <c r="G32" i="40"/>
  <c r="H32" i="39"/>
  <c r="P4" i="40"/>
  <c r="P8" i="40"/>
  <c r="P12" i="40"/>
  <c r="P5" i="40"/>
  <c r="P9" i="40"/>
  <c r="I32" i="40"/>
  <c r="F32" i="40"/>
  <c r="F33" i="40" s="1"/>
  <c r="E32" i="40"/>
  <c r="E33" i="40" s="1"/>
  <c r="G32" i="39"/>
  <c r="G33" i="39" s="1"/>
  <c r="D36" i="40"/>
  <c r="P3" i="40"/>
  <c r="O4" i="40"/>
  <c r="O8" i="40"/>
  <c r="O12" i="40"/>
  <c r="B36" i="40"/>
  <c r="O3" i="40" s="1"/>
  <c r="F36" i="40"/>
  <c r="O7" i="40" s="1"/>
  <c r="D32" i="39"/>
  <c r="D33" i="39" s="1"/>
  <c r="D38" i="39" s="1"/>
  <c r="Q5" i="39" s="1"/>
  <c r="E32" i="39"/>
  <c r="E33" i="39" s="1"/>
  <c r="C32" i="39"/>
  <c r="C33" i="39" s="1"/>
  <c r="C38" i="39" s="1"/>
  <c r="Q4" i="39" s="1"/>
  <c r="B32" i="39"/>
  <c r="B33" i="39" s="1"/>
  <c r="I32" i="39"/>
  <c r="K32" i="39"/>
  <c r="K38" i="39" s="1"/>
  <c r="Q12" i="39" s="1"/>
  <c r="F32" i="39"/>
  <c r="O3" i="39"/>
  <c r="P12" i="39"/>
  <c r="O4" i="39"/>
  <c r="O6" i="39"/>
  <c r="O7" i="39"/>
  <c r="O9" i="39"/>
  <c r="O10" i="39"/>
  <c r="O11" i="39"/>
  <c r="O12" i="39"/>
  <c r="P5" i="39"/>
  <c r="P7" i="39"/>
  <c r="P10" i="39"/>
  <c r="P3" i="39"/>
  <c r="O5" i="39"/>
  <c r="O8" i="39"/>
  <c r="P4" i="39"/>
  <c r="P6" i="39"/>
  <c r="P8" i="39"/>
  <c r="P9" i="39"/>
  <c r="P11" i="39"/>
  <c r="K36" i="38"/>
  <c r="J36" i="38"/>
  <c r="I36" i="38"/>
  <c r="H36" i="38"/>
  <c r="G36" i="38"/>
  <c r="F36" i="38"/>
  <c r="E36" i="38"/>
  <c r="D36" i="38"/>
  <c r="C36" i="38"/>
  <c r="B36" i="38"/>
  <c r="K35" i="38"/>
  <c r="J35" i="38"/>
  <c r="I35" i="38"/>
  <c r="H35" i="38"/>
  <c r="G35" i="38"/>
  <c r="F35" i="38"/>
  <c r="E35" i="38"/>
  <c r="D35" i="38"/>
  <c r="C35" i="38"/>
  <c r="B35" i="38"/>
  <c r="K34" i="38"/>
  <c r="J34" i="38"/>
  <c r="I34" i="38"/>
  <c r="H34" i="38"/>
  <c r="G34" i="38"/>
  <c r="F34" i="38"/>
  <c r="E34" i="38"/>
  <c r="D34" i="38"/>
  <c r="C34" i="38"/>
  <c r="B34" i="38"/>
  <c r="A34" i="38"/>
  <c r="K33" i="38"/>
  <c r="J33" i="38"/>
  <c r="I33" i="38"/>
  <c r="I31" i="38" s="1"/>
  <c r="I37" i="38" s="1"/>
  <c r="H33" i="38"/>
  <c r="G33" i="38"/>
  <c r="F33" i="38"/>
  <c r="E33" i="38"/>
  <c r="D33" i="38"/>
  <c r="C33" i="38"/>
  <c r="B33" i="38"/>
  <c r="A33" i="38"/>
  <c r="N6" i="38" s="1"/>
  <c r="A21" i="38"/>
  <c r="E16" i="38"/>
  <c r="I12" i="38"/>
  <c r="I11" i="38"/>
  <c r="I10" i="38"/>
  <c r="I9" i="38"/>
  <c r="I8" i="38"/>
  <c r="I7" i="38"/>
  <c r="I6" i="38"/>
  <c r="I5" i="38"/>
  <c r="I4" i="38"/>
  <c r="B4" i="38"/>
  <c r="I3" i="38"/>
  <c r="M1" i="38"/>
  <c r="K36" i="37"/>
  <c r="J36" i="37"/>
  <c r="I36" i="37"/>
  <c r="H36" i="37"/>
  <c r="G36" i="37"/>
  <c r="F36" i="37"/>
  <c r="E36" i="37"/>
  <c r="D36" i="37"/>
  <c r="C36" i="37"/>
  <c r="B36" i="37"/>
  <c r="K35" i="37"/>
  <c r="J35" i="37"/>
  <c r="I35" i="37"/>
  <c r="H35" i="37"/>
  <c r="G35" i="37"/>
  <c r="F35" i="37"/>
  <c r="E35" i="37"/>
  <c r="D35" i="37"/>
  <c r="C35" i="37"/>
  <c r="B35" i="37"/>
  <c r="K34" i="37"/>
  <c r="J34" i="37"/>
  <c r="I34" i="37"/>
  <c r="H34" i="37"/>
  <c r="G34" i="37"/>
  <c r="F34" i="37"/>
  <c r="E34" i="37"/>
  <c r="D34" i="37"/>
  <c r="C34" i="37"/>
  <c r="B34" i="37"/>
  <c r="A34" i="37"/>
  <c r="K33" i="37"/>
  <c r="K31" i="37" s="1"/>
  <c r="J33" i="37"/>
  <c r="I33" i="37"/>
  <c r="I31" i="37" s="1"/>
  <c r="I37" i="37" s="1"/>
  <c r="H33" i="37"/>
  <c r="G33" i="37"/>
  <c r="F33" i="37"/>
  <c r="E33" i="37"/>
  <c r="D33" i="37"/>
  <c r="D31" i="37" s="1"/>
  <c r="D37" i="37" s="1"/>
  <c r="C33" i="37"/>
  <c r="C31" i="37" s="1"/>
  <c r="B33" i="37"/>
  <c r="A33" i="37"/>
  <c r="A21" i="37"/>
  <c r="E16" i="37"/>
  <c r="I12" i="37"/>
  <c r="I11" i="37"/>
  <c r="I10" i="37"/>
  <c r="I9" i="37"/>
  <c r="I8" i="37"/>
  <c r="I7" i="37"/>
  <c r="I6" i="37"/>
  <c r="I5" i="37"/>
  <c r="I4" i="37"/>
  <c r="B4" i="37"/>
  <c r="I3" i="37"/>
  <c r="M1" i="37"/>
  <c r="E16" i="36"/>
  <c r="H31" i="37" l="1"/>
  <c r="H37" i="37" s="1"/>
  <c r="E31" i="37"/>
  <c r="E37" i="37" s="1"/>
  <c r="E31" i="38"/>
  <c r="E37" i="38" s="1"/>
  <c r="K33" i="40"/>
  <c r="H33" i="39"/>
  <c r="H38" i="39" s="1"/>
  <c r="Q9" i="39" s="1"/>
  <c r="J33" i="39"/>
  <c r="J38" i="39" s="1"/>
  <c r="Q11" i="39" s="1"/>
  <c r="D38" i="40"/>
  <c r="Q5" i="40" s="1"/>
  <c r="H38" i="40"/>
  <c r="Q9" i="40" s="1"/>
  <c r="J33" i="40"/>
  <c r="J38" i="40" s="1"/>
  <c r="Q11" i="40" s="1"/>
  <c r="G33" i="40"/>
  <c r="G38" i="40" s="1"/>
  <c r="Q8" i="40" s="1"/>
  <c r="I33" i="40"/>
  <c r="I38" i="40" s="1"/>
  <c r="Q10" i="40" s="1"/>
  <c r="N7" i="38"/>
  <c r="P10" i="38"/>
  <c r="B31" i="37"/>
  <c r="B37" i="37" s="1"/>
  <c r="P3" i="37" s="1"/>
  <c r="J31" i="37"/>
  <c r="J37" i="37" s="1"/>
  <c r="G31" i="38"/>
  <c r="G37" i="38" s="1"/>
  <c r="P8" i="38" s="1"/>
  <c r="J31" i="38"/>
  <c r="C31" i="38"/>
  <c r="C37" i="38" s="1"/>
  <c r="P4" i="38" s="1"/>
  <c r="K31" i="38"/>
  <c r="K37" i="38" s="1"/>
  <c r="P12" i="38" s="1"/>
  <c r="B31" i="38"/>
  <c r="B32" i="38" s="1"/>
  <c r="N7" i="37"/>
  <c r="F31" i="37"/>
  <c r="F37" i="37" s="1"/>
  <c r="G31" i="37"/>
  <c r="O10" i="37"/>
  <c r="O5" i="37"/>
  <c r="N3" i="37"/>
  <c r="N11" i="37"/>
  <c r="N5" i="37"/>
  <c r="N8" i="37"/>
  <c r="O3" i="37"/>
  <c r="O8" i="37"/>
  <c r="N6" i="37"/>
  <c r="O11" i="37"/>
  <c r="O7" i="37"/>
  <c r="O6" i="37"/>
  <c r="N9" i="37"/>
  <c r="N10" i="37"/>
  <c r="N4" i="37"/>
  <c r="O9" i="37"/>
  <c r="N12" i="37"/>
  <c r="O4" i="37"/>
  <c r="E38" i="40"/>
  <c r="Q6" i="40" s="1"/>
  <c r="I33" i="39"/>
  <c r="I38" i="39" s="1"/>
  <c r="Q10" i="39" s="1"/>
  <c r="K33" i="39"/>
  <c r="D31" i="38"/>
  <c r="D32" i="38" s="1"/>
  <c r="P6" i="38"/>
  <c r="N3" i="38"/>
  <c r="N4" i="38"/>
  <c r="F31" i="38"/>
  <c r="F32" i="38" s="1"/>
  <c r="O3" i="38"/>
  <c r="N5" i="38"/>
  <c r="H31" i="38"/>
  <c r="H32" i="38" s="1"/>
  <c r="G38" i="39"/>
  <c r="Q8" i="39" s="1"/>
  <c r="O5" i="40"/>
  <c r="F38" i="40"/>
  <c r="Q7" i="40" s="1"/>
  <c r="B38" i="40"/>
  <c r="Q3" i="40" s="1"/>
  <c r="E38" i="39"/>
  <c r="Q6" i="39" s="1"/>
  <c r="B38" i="39"/>
  <c r="Q3" i="39" s="1"/>
  <c r="F33" i="39"/>
  <c r="F38" i="39" s="1"/>
  <c r="Q7" i="39" s="1"/>
  <c r="B37" i="38"/>
  <c r="P3" i="38" s="1"/>
  <c r="J37" i="38"/>
  <c r="P11" i="38" s="1"/>
  <c r="J32" i="38"/>
  <c r="D37" i="38"/>
  <c r="P5" i="38" s="1"/>
  <c r="H37" i="38"/>
  <c r="P9" i="38" s="1"/>
  <c r="N8" i="38"/>
  <c r="N9" i="38"/>
  <c r="N10" i="38"/>
  <c r="N11" i="38"/>
  <c r="N12" i="38"/>
  <c r="O4" i="38"/>
  <c r="O5" i="38"/>
  <c r="O6" i="38"/>
  <c r="O7" i="38"/>
  <c r="O8" i="38"/>
  <c r="O9" i="38"/>
  <c r="O10" i="38"/>
  <c r="O11" i="38"/>
  <c r="O12" i="38"/>
  <c r="E32" i="38"/>
  <c r="I32" i="38"/>
  <c r="C32" i="38"/>
  <c r="C37" i="37"/>
  <c r="P4" i="37" s="1"/>
  <c r="C32" i="37"/>
  <c r="G37" i="37"/>
  <c r="P8" i="37" s="1"/>
  <c r="G32" i="37"/>
  <c r="K37" i="37"/>
  <c r="P12" i="37" s="1"/>
  <c r="K32" i="37"/>
  <c r="O12" i="37"/>
  <c r="D32" i="37"/>
  <c r="H32" i="37"/>
  <c r="P5" i="37"/>
  <c r="P6" i="37"/>
  <c r="P7" i="37"/>
  <c r="P9" i="37"/>
  <c r="P10" i="37"/>
  <c r="P11" i="37"/>
  <c r="E32" i="37"/>
  <c r="I32" i="37"/>
  <c r="B32" i="37"/>
  <c r="F32" i="37"/>
  <c r="J32" i="37"/>
  <c r="G32" i="38" l="1"/>
  <c r="K32" i="38"/>
  <c r="F37" i="38"/>
  <c r="P7" i="38" s="1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B35" i="36"/>
  <c r="K34" i="36"/>
  <c r="J34" i="36"/>
  <c r="I34" i="36"/>
  <c r="H34" i="36"/>
  <c r="G34" i="36"/>
  <c r="F34" i="36"/>
  <c r="E34" i="36"/>
  <c r="D34" i="36"/>
  <c r="C34" i="36"/>
  <c r="B34" i="36"/>
  <c r="A34" i="36"/>
  <c r="K33" i="36"/>
  <c r="K31" i="36" s="1"/>
  <c r="K37" i="36" s="1"/>
  <c r="J33" i="36"/>
  <c r="I33" i="36"/>
  <c r="I31" i="36" s="1"/>
  <c r="I37" i="36" s="1"/>
  <c r="H33" i="36"/>
  <c r="G33" i="36"/>
  <c r="F33" i="36"/>
  <c r="F31" i="36" s="1"/>
  <c r="E33" i="36"/>
  <c r="E31" i="36" s="1"/>
  <c r="E37" i="36" s="1"/>
  <c r="D33" i="36"/>
  <c r="C33" i="36"/>
  <c r="C31" i="36" s="1"/>
  <c r="C37" i="36" s="1"/>
  <c r="B33" i="36"/>
  <c r="A33" i="36"/>
  <c r="G31" i="36"/>
  <c r="G37" i="36" s="1"/>
  <c r="A21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O9" i="36" l="1"/>
  <c r="O6" i="36"/>
  <c r="O10" i="36"/>
  <c r="O5" i="36"/>
  <c r="N3" i="36"/>
  <c r="O12" i="36"/>
  <c r="B31" i="36"/>
  <c r="B37" i="36" s="1"/>
  <c r="P3" i="36" s="1"/>
  <c r="J31" i="36"/>
  <c r="J37" i="36" s="1"/>
  <c r="P11" i="36" s="1"/>
  <c r="D31" i="36"/>
  <c r="P12" i="36"/>
  <c r="H31" i="36"/>
  <c r="H32" i="36" s="1"/>
  <c r="I32" i="36"/>
  <c r="E32" i="36"/>
  <c r="B32" i="36"/>
  <c r="F37" i="36"/>
  <c r="P7" i="36" s="1"/>
  <c r="F32" i="36"/>
  <c r="D37" i="36"/>
  <c r="P5" i="36" s="1"/>
  <c r="D32" i="36"/>
  <c r="H37" i="36"/>
  <c r="P9" i="36" s="1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C32" i="36"/>
  <c r="G32" i="36"/>
  <c r="K32" i="36"/>
  <c r="J32" i="36" l="1"/>
</calcChain>
</file>

<file path=xl/sharedStrings.xml><?xml version="1.0" encoding="utf-8"?>
<sst xmlns="http://schemas.openxmlformats.org/spreadsheetml/2006/main" count="440" uniqueCount="136">
  <si>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</si>
  <si>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</si>
  <si>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</si>
  <si>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</si>
  <si>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</si>
  <si>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</si>
  <si>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</si>
  <si>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</si>
  <si>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</si>
  <si>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</si>
  <si>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</si>
  <si>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</si>
  <si>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</si>
  <si>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</si>
  <si>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</si>
  <si>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</si>
  <si>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</si>
  <si>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</si>
  <si>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</si>
  <si>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</si>
  <si>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</si>
  <si>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</si>
  <si>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</si>
  <si>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</si>
  <si>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</si>
  <si>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</si>
  <si>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</si>
  <si>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</si>
  <si>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</si>
  <si>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</si>
  <si>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</si>
  <si>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</si>
  <si>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</si>
  <si>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</si>
  <si>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</si>
  <si>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</si>
  <si>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</si>
  <si>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</si>
  <si>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</si>
  <si>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</si>
  <si>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</si>
  <si>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</si>
  <si>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</si>
  <si>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</si>
  <si>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</si>
  <si>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</si>
  <si>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</si>
  <si>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</si>
  <si>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</si>
  <si>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SBDWPS</t>
  </si>
  <si>
    <t>Desert Wells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</si>
  <si>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</si>
  <si>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</si>
  <si>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</si>
  <si>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</si>
  <si>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</si>
  <si>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</si>
  <si>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</si>
  <si>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</si>
  <si>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</si>
  <si>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</si>
  <si>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Peerless</t>
  </si>
  <si>
    <t>#4</t>
  </si>
  <si>
    <t>#3</t>
  </si>
  <si>
    <t>#2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</si>
  <si>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</si>
  <si>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</si>
  <si>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</si>
  <si>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</si>
  <si>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</si>
  <si>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</si>
  <si>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</si>
  <si>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</si>
  <si>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78639-1-2</t>
  </si>
  <si>
    <t>78639-1-3</t>
  </si>
  <si>
    <t>No. of Stages:</t>
  </si>
  <si>
    <t>27 FKH</t>
  </si>
  <si>
    <t>78639-9-1</t>
  </si>
  <si>
    <t>Impeller Trim:</t>
  </si>
  <si>
    <t>15.69"</t>
  </si>
  <si>
    <t>Power (BHP)</t>
  </si>
  <si>
    <t>% Speed</t>
  </si>
  <si>
    <t>TDH</t>
  </si>
  <si>
    <t>Try not to run less than 4,000 gpm</t>
  </si>
  <si>
    <t>Min Speed</t>
  </si>
  <si>
    <t>TDH, ft</t>
  </si>
  <si>
    <t>Min Speed = 0.0022(TDH) + 0.48</t>
  </si>
  <si>
    <t>78639-9-2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</si>
  <si>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</si>
  <si>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</si>
  <si>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</si>
  <si>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</si>
  <si>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</si>
  <si>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</si>
  <si>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</si>
  <si>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</si>
  <si>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</si>
  <si>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</si>
  <si>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</si>
  <si>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Start Differential PSI 126 PSI 0 GPM</t>
  </si>
  <si>
    <t>2nd Point Differential PSI 117 PSI 1722 GPM</t>
  </si>
  <si>
    <t>3rd Point Differential PSI 106 PSI 3451 GPM</t>
  </si>
  <si>
    <t>4th Point Differential PSI 98 PSI 5167 GPM</t>
  </si>
  <si>
    <t>5th Point Differential PSI 93 PSI 7361 GPM</t>
  </si>
  <si>
    <t>6th Point Differential PSI 90 PSI 7638 GPM</t>
  </si>
  <si>
    <t>7th Point Differential PSI 84 PSI 8514 GPM</t>
  </si>
  <si>
    <t>8th Point Differential PSI 77 PSI 9306 GPM</t>
  </si>
  <si>
    <t>9th Point Differential PSI 61 PSI 10812 GPM</t>
  </si>
  <si>
    <t>10th Point Differential PSI 47 PSI 11701 GPM</t>
  </si>
  <si>
    <t>Start Differential PSI 86 PSI 0 GPM</t>
  </si>
  <si>
    <t>2nd Point Differential PSI 75 PSI 1986 GPM</t>
  </si>
  <si>
    <t>3rd Point Differential PSI 67 PSI 3000 GPM</t>
  </si>
  <si>
    <t>4th Point Differential PSI 59 PSI 4007 GPM</t>
  </si>
  <si>
    <t>5th Point Differential PSI 56 PSI 4472 GPM</t>
  </si>
  <si>
    <t>5th Point Differential PSI 56 PSI 4514 GPM</t>
  </si>
  <si>
    <t>6th Point Differential PSI 54 PSI 5021 GPM</t>
  </si>
  <si>
    <t>7th Point Differential PSI 52 PSI 5563 GPM</t>
  </si>
  <si>
    <t>8th Point Differential PSI 50 PSI 6118 GPM</t>
  </si>
  <si>
    <t>9th Point Differential PSI 39 PSI 7389 GPM</t>
  </si>
  <si>
    <t>10th Point Differential PSI 23 PSI 8792 GPM</t>
  </si>
  <si>
    <t>Start Differential PSI 88 PSI 0 GPM</t>
  </si>
  <si>
    <t>2nd Point Differential PSI 71 PSI 2049GPM</t>
  </si>
  <si>
    <t>3rd Point Differential PSI 66 PSI 3049 GPM</t>
  </si>
  <si>
    <t>4th Point Differential PSI 59 PSI 3986 GPM</t>
  </si>
  <si>
    <t>6th Point Differential PSI 54 PSI 4986 GPM</t>
  </si>
  <si>
    <t>8th Point Differential PSI 51 PSI 6111 GPM</t>
  </si>
  <si>
    <t>9th Point Differential PSI 40 PSI 7403 GPM</t>
  </si>
  <si>
    <t>10th Point Differential PSI 23 PSI 8826 GPM</t>
  </si>
  <si>
    <t>5th Point Differential PSI 93 PSI 6986 GPM</t>
  </si>
  <si>
    <t>6th Point Differential PSI 90 PSI 7639 GPM</t>
  </si>
  <si>
    <t>9th Point Differential PSI 61 PSI 10813 GPM</t>
  </si>
  <si>
    <t>#5</t>
  </si>
  <si>
    <t>4/16/18</t>
  </si>
  <si>
    <t>https://pump-assessment-utility.herokuapp.com/dbInsertPumpTest</t>
  </si>
  <si>
    <t>http://localhost:3000/dbInsertPumpTest</t>
  </si>
  <si>
    <t>made endpoint!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</si>
</sst>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2" fontId="5" fillId="4" borderId="6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9" fontId="0" fillId="2" borderId="6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10" fillId="0" borderId="0" xfId="0" applyFont="1" applyAlignment="1">
      <alignment horizontal="left" vertical="center" readingOrder="1"/>
    </xf>
    <xf numFmtId="0" fontId="10" fillId="0" borderId="0" xfId="0" applyFont="1" applyAlignment="1">
      <alignment horizontal="center" vertical="center" readingOrder="1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1" fillId="0" borderId="0" xfId="3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1'!$B$24:$K$24</c:f>
              <c:numCache>
                <c:formatCode>0.00</c:formatCode>
                <c:ptCount val="10"/>
              </c:numCache>
            </c:numRef>
          </c:xVal>
          <c:yVal>
            <c:numRef>
              <c:f>'SBFF Pump 1'!$B$35:$K$35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'SBFF Pump 1'!$K$2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1'!$K$3:$K$12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'SBFF Pump 1'!$A$37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'SBFF Pump 1'!$A$34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'SBFF Pump 1'!$A$33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5-4C00-8CD6-47A34E5A7F7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2'!$B$24:$K$24</c:f>
              <c:numCache>
                <c:formatCode>0.00</c:formatCode>
                <c:ptCount val="10"/>
              </c:numCache>
            </c:numRef>
          </c:xVal>
          <c:yVal>
            <c:numRef>
              <c:f>'SBFF Pump 2'!$B$35:$K$35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5-4C00-8CD6-47A34E5A7F7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0832"/>
        <c:axId val="544961224"/>
      </c:scatterChart>
      <c:scatterChart>
        <c:scatterStyle val="smoothMarker"/>
        <c:varyColors val="0"/>
        <c:ser>
          <c:idx val="3"/>
          <c:order val="3"/>
          <c:tx>
            <c:strRef>
              <c:f>'SBFF Pump 2'!$K$2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2'!$K$3:$K$12</c:f>
              <c:numCache>
                <c:formatCode>0%</c:formatCode>
                <c:ptCount val="10"/>
                <c:pt idx="0">
                  <c:v>0</c:v>
                </c:pt>
                <c:pt idx="1">
                  <c:v>0.40039999999999998</c:v>
                </c:pt>
                <c:pt idx="2">
                  <c:v>0.55879999999999996</c:v>
                </c:pt>
                <c:pt idx="3">
                  <c:v>0.67589999999999995</c:v>
                </c:pt>
                <c:pt idx="4">
                  <c:v>0.72340000000000004</c:v>
                </c:pt>
                <c:pt idx="5">
                  <c:v>0.7712</c:v>
                </c:pt>
                <c:pt idx="6">
                  <c:v>0.8175</c:v>
                </c:pt>
                <c:pt idx="7">
                  <c:v>0.8327</c:v>
                </c:pt>
                <c:pt idx="8">
                  <c:v>0.79900000000000004</c:v>
                </c:pt>
                <c:pt idx="9">
                  <c:v>0.59470000000000001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A5-4C00-8CD6-47A34E5A7F7C}"/>
            </c:ext>
          </c:extLst>
        </c:ser>
        <c:ser>
          <c:idx val="4"/>
          <c:order val="4"/>
          <c:tx>
            <c:strRef>
              <c:f>'SBFF Pump 2'!$A$37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7888"/>
        <c:axId val="544963184"/>
      </c:scatterChart>
      <c:valAx>
        <c:axId val="544960832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1224"/>
        <c:crosses val="autoZero"/>
        <c:crossBetween val="midCat"/>
        <c:majorUnit val="1"/>
        <c:minorUnit val="0.1"/>
      </c:valAx>
      <c:valAx>
        <c:axId val="544961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60832"/>
        <c:crosses val="autoZero"/>
        <c:crossBetween val="midCat"/>
        <c:majorUnit val="40"/>
      </c:valAx>
      <c:valAx>
        <c:axId val="54496318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4967888"/>
        <c:crosses val="max"/>
        <c:crossBetween val="midCat"/>
      </c:valAx>
      <c:valAx>
        <c:axId val="5449678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631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8F-4E8A-B0E7-B471C0FA4A6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8F-4E8A-B0E7-B471C0FA4A6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6912"/>
        <c:axId val="544964360"/>
      </c:scatterChart>
      <c:scatterChart>
        <c:scatterStyle val="smoothMarker"/>
        <c:varyColors val="0"/>
        <c:ser>
          <c:idx val="4"/>
          <c:order val="3"/>
          <c:tx>
            <c:strRef>
              <c:f>'SBFF Pump 2'!$A$34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8088"/>
        <c:axId val="544957696"/>
      </c:scatterChart>
      <c:valAx>
        <c:axId val="544956912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4360"/>
        <c:crosses val="autoZero"/>
        <c:crossBetween val="midCat"/>
        <c:majorUnit val="0.5"/>
        <c:minorUnit val="0.1"/>
      </c:valAx>
      <c:valAx>
        <c:axId val="5449643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6912"/>
        <c:crosses val="autoZero"/>
        <c:crossBetween val="midCat"/>
        <c:majorUnit val="40"/>
      </c:valAx>
      <c:valAx>
        <c:axId val="544957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4958088"/>
        <c:crosses val="max"/>
        <c:crossBetween val="midCat"/>
      </c:valAx>
      <c:valAx>
        <c:axId val="544958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57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B-488C-9E76-03037AF30B61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B-488C-9E76-03037AF30B61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9656"/>
        <c:axId val="309954224"/>
      </c:scatterChart>
      <c:scatterChart>
        <c:scatterStyle val="smoothMarker"/>
        <c:varyColors val="0"/>
        <c:ser>
          <c:idx val="4"/>
          <c:order val="3"/>
          <c:tx>
            <c:strRef>
              <c:f>'SBFF Pump 2'!$A$33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55792"/>
        <c:axId val="309954616"/>
      </c:scatterChart>
      <c:valAx>
        <c:axId val="544959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09954224"/>
        <c:crosses val="autoZero"/>
        <c:crossBetween val="midCat"/>
        <c:majorUnit val="0.5"/>
        <c:minorUnit val="0.1"/>
      </c:valAx>
      <c:valAx>
        <c:axId val="309954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9656"/>
        <c:crosses val="autoZero"/>
        <c:crossBetween val="midCat"/>
        <c:majorUnit val="40"/>
      </c:valAx>
      <c:valAx>
        <c:axId val="3099546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9955792"/>
        <c:crosses val="max"/>
        <c:crossBetween val="midCat"/>
      </c:valAx>
      <c:valAx>
        <c:axId val="30995579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995461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0F-4180-B202-F2268FF74CD8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3'!$B$24:$K$24</c:f>
              <c:numCache>
                <c:formatCode>0.00</c:formatCode>
                <c:ptCount val="10"/>
              </c:numCache>
            </c:numRef>
          </c:xVal>
          <c:yVal>
            <c:numRef>
              <c:f>'SBFF Pump 3'!$B$35:$K$35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0F-4180-B202-F2268FF74CD8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50080"/>
        <c:axId val="82164848"/>
      </c:scatterChart>
      <c:scatterChart>
        <c:scatterStyle val="smoothMarker"/>
        <c:varyColors val="0"/>
        <c:ser>
          <c:idx val="3"/>
          <c:order val="3"/>
          <c:tx>
            <c:strRef>
              <c:f>'SBFF Pump 3'!$K$2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3'!$K$3:$K$12</c:f>
              <c:numCache>
                <c:formatCode>0%</c:formatCode>
                <c:ptCount val="10"/>
                <c:pt idx="0">
                  <c:v>0</c:v>
                </c:pt>
                <c:pt idx="1">
                  <c:v>0.39589999999999997</c:v>
                </c:pt>
                <c:pt idx="2">
                  <c:v>0.5605</c:v>
                </c:pt>
                <c:pt idx="3">
                  <c:v>0.66979999999999995</c:v>
                </c:pt>
                <c:pt idx="4">
                  <c:v>0.72509999999999997</c:v>
                </c:pt>
                <c:pt idx="5">
                  <c:v>0.76480000000000004</c:v>
                </c:pt>
                <c:pt idx="6">
                  <c:v>0.80879999999999996</c:v>
                </c:pt>
                <c:pt idx="7">
                  <c:v>0.82950000000000002</c:v>
                </c:pt>
                <c:pt idx="8">
                  <c:v>0.79049999999999998</c:v>
                </c:pt>
                <c:pt idx="9">
                  <c:v>0.57840000000000003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0F-4180-B202-F2268FF74CD8}"/>
            </c:ext>
          </c:extLst>
        </c:ser>
        <c:ser>
          <c:idx val="4"/>
          <c:order val="4"/>
          <c:tx>
            <c:strRef>
              <c:f>'SBFF Pump 3'!$A$37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6640"/>
        <c:axId val="82165240"/>
      </c:scatterChart>
      <c:valAx>
        <c:axId val="126450080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82164848"/>
        <c:crosses val="autoZero"/>
        <c:crossBetween val="midCat"/>
        <c:majorUnit val="1"/>
        <c:minorUnit val="0.1"/>
      </c:valAx>
      <c:valAx>
        <c:axId val="8216484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50080"/>
        <c:crosses val="autoZero"/>
        <c:crossBetween val="midCat"/>
        <c:majorUnit val="40"/>
      </c:valAx>
      <c:valAx>
        <c:axId val="8216524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5526640"/>
        <c:crosses val="max"/>
        <c:crossBetween val="midCat"/>
      </c:valAx>
      <c:valAx>
        <c:axId val="18552664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8216524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D5-4700-9802-F31AF9850709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5-4700-9802-F31AF9850709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736"/>
        <c:axId val="547603912"/>
      </c:scatterChart>
      <c:scatterChart>
        <c:scatterStyle val="smoothMarker"/>
        <c:varyColors val="0"/>
        <c:ser>
          <c:idx val="4"/>
          <c:order val="3"/>
          <c:tx>
            <c:strRef>
              <c:f>'SBFF Pump 3'!$A$34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5088"/>
        <c:axId val="547604696"/>
      </c:scatterChart>
      <c:valAx>
        <c:axId val="54760273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3912"/>
        <c:crosses val="autoZero"/>
        <c:crossBetween val="midCat"/>
        <c:majorUnit val="0.5"/>
        <c:minorUnit val="0.1"/>
      </c:valAx>
      <c:valAx>
        <c:axId val="54760391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2736"/>
        <c:crosses val="autoZero"/>
        <c:crossBetween val="midCat"/>
        <c:majorUnit val="40"/>
      </c:valAx>
      <c:valAx>
        <c:axId val="547604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7605088"/>
        <c:crosses val="max"/>
        <c:crossBetween val="midCat"/>
      </c:valAx>
      <c:valAx>
        <c:axId val="547605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C-4029-B848-5E94AB7199D1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C-4029-B848-5E94AB7199D1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3520"/>
        <c:axId val="547605480"/>
      </c:scatterChart>
      <c:scatterChart>
        <c:scatterStyle val="smoothMarker"/>
        <c:varyColors val="0"/>
        <c:ser>
          <c:idx val="4"/>
          <c:order val="3"/>
          <c:tx>
            <c:strRef>
              <c:f>'SBFF Pump 3'!$A$33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0976"/>
        <c:axId val="547604304"/>
      </c:scatterChart>
      <c:valAx>
        <c:axId val="54760352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5480"/>
        <c:crosses val="autoZero"/>
        <c:crossBetween val="midCat"/>
        <c:majorUnit val="0.5"/>
        <c:minorUnit val="0.1"/>
      </c:valAx>
      <c:valAx>
        <c:axId val="5476054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3520"/>
        <c:crosses val="autoZero"/>
        <c:crossBetween val="midCat"/>
        <c:majorUnit val="40"/>
      </c:valAx>
      <c:valAx>
        <c:axId val="547604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590976"/>
        <c:crosses val="max"/>
        <c:crossBetween val="midCat"/>
      </c:valAx>
      <c:valAx>
        <c:axId val="5475909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3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C-4B1C-A7D2-9F93E144BB03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4'!$B$36:$K$36</c:f>
              <c:numCache>
                <c:formatCode>0.0</c:formatCode>
                <c:ptCount val="10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C-4B1C-A7D2-9F93E144BB03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7248"/>
        <c:axId val="547593328"/>
      </c:scatterChart>
      <c:scatterChart>
        <c:scatterStyle val="smoothMarker"/>
        <c:varyColors val="0"/>
        <c:ser>
          <c:idx val="3"/>
          <c:order val="3"/>
          <c:tx>
            <c:strRef>
              <c:f>'SBDW Pump 4'!$J$2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EC-4B1C-A7D2-9F93E144BB03}"/>
            </c:ext>
          </c:extLst>
        </c:ser>
        <c:ser>
          <c:idx val="4"/>
          <c:order val="4"/>
          <c:tx>
            <c:strRef>
              <c:f>'SBDW Pump 4'!$A$38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4'!$B$38:$J$38</c:f>
              <c:numCache>
                <c:formatCode>0%</c:formatCode>
                <c:ptCount val="9"/>
                <c:pt idx="0">
                  <c:v>0</c:v>
                </c:pt>
                <c:pt idx="1">
                  <c:v>0.15241420648088122</c:v>
                </c:pt>
                <c:pt idx="2">
                  <c:v>0.40981023393188987</c:v>
                </c:pt>
                <c:pt idx="3">
                  <c:v>0.53437378720889872</c:v>
                </c:pt>
                <c:pt idx="4">
                  <c:v>0.64502791620314837</c:v>
                </c:pt>
                <c:pt idx="5">
                  <c:v>0.68547758273754655</c:v>
                </c:pt>
                <c:pt idx="6">
                  <c:v>0.80096376025509097</c:v>
                </c:pt>
                <c:pt idx="7">
                  <c:v>0.89410282335232127</c:v>
                </c:pt>
                <c:pt idx="8">
                  <c:v>0.90015258033857004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3720"/>
        <c:axId val="547591368"/>
      </c:scatterChart>
      <c:valAx>
        <c:axId val="547597248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3328"/>
        <c:crosses val="autoZero"/>
        <c:crossBetween val="midCat"/>
        <c:majorUnit val="1"/>
        <c:minorUnit val="0.2"/>
      </c:valAx>
      <c:valAx>
        <c:axId val="54759332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7248"/>
        <c:crosses val="autoZero"/>
        <c:crossBetween val="midCat"/>
        <c:majorUnit val="40"/>
      </c:valAx>
      <c:valAx>
        <c:axId val="547591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593720"/>
        <c:crosses val="max"/>
        <c:crossBetween val="midCat"/>
      </c:valAx>
      <c:valAx>
        <c:axId val="54759372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13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E-4CCA-B619-D03A8A4CD196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E-4CCA-B619-D03A8A4CD196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384"/>
        <c:axId val="547599992"/>
      </c:scatterChart>
      <c:scatterChart>
        <c:scatterStyle val="smoothMarker"/>
        <c:varyColors val="0"/>
        <c:ser>
          <c:idx val="4"/>
          <c:order val="3"/>
          <c:tx>
            <c:strRef>
              <c:f>'SBDW Pump 4'!$A$33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E-4CCA-B619-D03A8A4CD196}"/>
            </c:ext>
          </c:extLst>
        </c:ser>
        <c:ser>
          <c:idx val="1"/>
          <c:order val="4"/>
          <c:tx>
            <c:strRef>
              <c:f>'SBDW Pump 4'!$K$2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1760"/>
        <c:axId val="547598424"/>
      </c:scatterChart>
      <c:valAx>
        <c:axId val="54760038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992"/>
        <c:crosses val="autoZero"/>
        <c:crossBetween val="midCat"/>
        <c:majorUnit val="1"/>
        <c:minorUnit val="0.1"/>
      </c:valAx>
      <c:valAx>
        <c:axId val="54759999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600384"/>
        <c:crosses val="autoZero"/>
        <c:crossBetween val="midCat"/>
        <c:majorUnit val="40"/>
      </c:valAx>
      <c:valAx>
        <c:axId val="5475984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1760"/>
        <c:crosses val="max"/>
        <c:crossBetween val="midCat"/>
      </c:valAx>
      <c:valAx>
        <c:axId val="54759176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84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E-4C2A-B926-3216FA4D67EB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E-4C2A-B926-3216FA4D67EB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8032"/>
        <c:axId val="547601168"/>
      </c:scatterChart>
      <c:scatterChart>
        <c:scatterStyle val="smoothMarker"/>
        <c:varyColors val="0"/>
        <c:ser>
          <c:idx val="4"/>
          <c:order val="3"/>
          <c:tx>
            <c:strRef>
              <c:f>'SBDW Pump 4'!$A$34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776"/>
        <c:axId val="547599208"/>
      </c:scatterChart>
      <c:valAx>
        <c:axId val="547598032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168"/>
        <c:crosses val="autoZero"/>
        <c:crossBetween val="midCat"/>
        <c:majorUnit val="1"/>
        <c:minorUnit val="0.1"/>
      </c:valAx>
      <c:valAx>
        <c:axId val="54760116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8032"/>
        <c:crosses val="autoZero"/>
        <c:crossBetween val="midCat"/>
        <c:majorUnit val="40"/>
      </c:valAx>
      <c:valAx>
        <c:axId val="547599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600776"/>
        <c:crosses val="max"/>
        <c:crossBetween val="midCat"/>
      </c:valAx>
      <c:valAx>
        <c:axId val="5476007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92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'SBDW Pump 4'!$O$22</c:f>
              <c:strCache>
                <c:ptCount val="1"/>
                <c:pt idx="0">
                  <c:v>%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'SBDW Pump 4'!$P$23:$P$27</c:f>
              <c:numCache>
                <c:formatCode>General</c:formatCode>
                <c:ptCount val="5"/>
                <c:pt idx="0">
                  <c:v>240</c:v>
                </c:pt>
                <c:pt idx="1">
                  <c:v>200</c:v>
                </c:pt>
                <c:pt idx="2">
                  <c:v>180</c:v>
                </c:pt>
                <c:pt idx="3">
                  <c:v>160</c:v>
                </c:pt>
                <c:pt idx="4">
                  <c:v>135</c:v>
                </c:pt>
              </c:numCache>
            </c:numRef>
          </c:xVal>
          <c:yVal>
            <c:numRef>
              <c:f>'SBDW Pump 4'!$O$23:$O$27</c:f>
              <c:numCache>
                <c:formatCode>0%</c:formatCode>
                <c:ptCount val="5"/>
                <c:pt idx="0">
                  <c:v>1</c:v>
                </c:pt>
                <c:pt idx="1">
                  <c:v>0.91</c:v>
                </c:pt>
                <c:pt idx="2">
                  <c:v>0.88</c:v>
                </c:pt>
                <c:pt idx="3">
                  <c:v>0.82</c:v>
                </c:pt>
                <c:pt idx="4">
                  <c:v>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E-401B-9B69-6CB0FAE6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344"/>
        <c:axId val="547590192"/>
      </c:scatterChart>
      <c:valAx>
        <c:axId val="54760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90192"/>
        <c:crosses val="autoZero"/>
        <c:crossBetween val="midCat"/>
      </c:valAx>
      <c:valAx>
        <c:axId val="547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Minimum TDH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3-44F1-B1E3-F1F18C7B39F2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5'!$B$36:$K$36</c:f>
              <c:numCache>
                <c:formatCode>0.0</c:formatCode>
                <c:ptCount val="10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3-44F1-B1E3-F1F18C7B39F2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856"/>
        <c:axId val="547601560"/>
      </c:scatterChart>
      <c:scatterChart>
        <c:scatterStyle val="smoothMarker"/>
        <c:varyColors val="0"/>
        <c:ser>
          <c:idx val="3"/>
          <c:order val="3"/>
          <c:tx>
            <c:strRef>
              <c:f>'SBDW Pump 5'!$J$2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B3-44F1-B1E3-F1F18C7B39F2}"/>
            </c:ext>
          </c:extLst>
        </c:ser>
        <c:ser>
          <c:idx val="4"/>
          <c:order val="4"/>
          <c:tx>
            <c:strRef>
              <c:f>'SBDW Pump 5'!$A$38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5'!$B$38:$J$38</c:f>
              <c:numCache>
                <c:formatCode>0%</c:formatCode>
                <c:ptCount val="9"/>
                <c:pt idx="0">
                  <c:v>0</c:v>
                </c:pt>
                <c:pt idx="1">
                  <c:v>0.15238882238864671</c:v>
                </c:pt>
                <c:pt idx="2">
                  <c:v>0.40956448433927117</c:v>
                </c:pt>
                <c:pt idx="3">
                  <c:v>0.53398094227263726</c:v>
                </c:pt>
                <c:pt idx="4">
                  <c:v>0.6444038916128938</c:v>
                </c:pt>
                <c:pt idx="5">
                  <c:v>0.68491130200555306</c:v>
                </c:pt>
                <c:pt idx="6">
                  <c:v>0.79998978186473557</c:v>
                </c:pt>
                <c:pt idx="7">
                  <c:v>0.89351535625129686</c:v>
                </c:pt>
                <c:pt idx="8">
                  <c:v>0.9215396625025597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1952"/>
        <c:axId val="547594504"/>
      </c:scatterChart>
      <c:valAx>
        <c:axId val="547596856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560"/>
        <c:crosses val="autoZero"/>
        <c:crossBetween val="midCat"/>
        <c:majorUnit val="1"/>
        <c:minorUnit val="0.2"/>
      </c:valAx>
      <c:valAx>
        <c:axId val="5476015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856"/>
        <c:crosses val="autoZero"/>
        <c:crossBetween val="midCat"/>
      </c:valAx>
      <c:valAx>
        <c:axId val="547594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601952"/>
        <c:crosses val="max"/>
        <c:crossBetween val="midCat"/>
      </c:valAx>
      <c:valAx>
        <c:axId val="54760195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45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1-493B-9574-BEEF368615C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1-493B-9574-BEEF368615C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464"/>
        <c:axId val="547599600"/>
      </c:scatterChart>
      <c:scatterChart>
        <c:scatterStyle val="smoothMarker"/>
        <c:varyColors val="0"/>
        <c:ser>
          <c:idx val="4"/>
          <c:order val="3"/>
          <c:tx>
            <c:strRef>
              <c:f>'SBDW Pump 5'!$A$33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E1-493B-9574-BEEF368615C6}"/>
            </c:ext>
          </c:extLst>
        </c:ser>
        <c:ser>
          <c:idx val="1"/>
          <c:order val="4"/>
          <c:tx>
            <c:strRef>
              <c:f>'SBDW Pump 5'!$K$2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2544"/>
        <c:axId val="547590584"/>
      </c:scatterChart>
      <c:valAx>
        <c:axId val="54759646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600"/>
        <c:crosses val="autoZero"/>
        <c:crossBetween val="midCat"/>
        <c:majorUnit val="1"/>
        <c:minorUnit val="0.2"/>
      </c:valAx>
      <c:valAx>
        <c:axId val="5475996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464"/>
        <c:crosses val="autoZero"/>
        <c:crossBetween val="midCat"/>
      </c:valAx>
      <c:valAx>
        <c:axId val="547590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2544"/>
        <c:crosses val="max"/>
        <c:crossBetween val="midCat"/>
      </c:valAx>
      <c:valAx>
        <c:axId val="54759254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05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C5-4ED9-BA5C-2E95D0290A5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C5-4ED9-BA5C-2E95D0290A5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4896"/>
        <c:axId val="547595680"/>
      </c:scatterChart>
      <c:scatterChart>
        <c:scatterStyle val="smoothMarker"/>
        <c:varyColors val="0"/>
        <c:ser>
          <c:idx val="4"/>
          <c:order val="3"/>
          <c:tx>
            <c:strRef>
              <c:f>'SBDW Pump 5'!$A$34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39936"/>
        <c:axId val="308038760"/>
      </c:scatterChart>
      <c:valAx>
        <c:axId val="547594896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5680"/>
        <c:crosses val="autoZero"/>
        <c:crossBetween val="midCat"/>
        <c:majorUnit val="1"/>
        <c:minorUnit val="0.1"/>
      </c:valAx>
      <c:valAx>
        <c:axId val="5475956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4896"/>
        <c:crosses val="autoZero"/>
        <c:crossBetween val="midCat"/>
        <c:majorUnit val="40"/>
      </c:valAx>
      <c:valAx>
        <c:axId val="308038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8039936"/>
        <c:crosses val="max"/>
        <c:crossBetween val="midCat"/>
      </c:valAx>
      <c:valAx>
        <c:axId val="30803993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803876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819150</xdr:colOff>
          <xdr:row>17</xdr:row>
          <xdr:rowOff>133350</xdr:rowOff>
        </xdr:from>
        <xdr:to>
          <xdr:col>14</xdr:col>
          <xdr:colOff>1104900</xdr:colOff>
          <xdr:row>21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1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1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1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1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1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1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2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2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2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2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2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2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3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3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3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3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3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3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290512</xdr:colOff>
      <xdr:row>26</xdr:row>
      <xdr:rowOff>176212</xdr:rowOff>
    </xdr:from>
    <xdr:to>
      <xdr:col>17</xdr:col>
      <xdr:colOff>509587</xdr:colOff>
      <xdr:row>41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4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4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4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4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4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4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5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5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5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	</a:t>
          </a:r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5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5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5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ocalhost:3000/db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2"/>
  <sheetViews>
    <sheetView tabSelected="1" zoomScale="85" zoomScaleNormal="85" workbookViewId="0">
      <selection activeCell="O24" sqref="O24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78" t="s">
        <v>67</v>
      </c>
      <c r="C1" s="79" t="s">
        <v>39</v>
      </c>
      <c r="D1" s="4"/>
      <c r="E1" s="4"/>
      <c r="G1" s="4"/>
      <c r="H1" s="83" t="s">
        <v>11</v>
      </c>
      <c r="I1" s="84"/>
      <c r="J1" s="84"/>
      <c r="K1" s="85"/>
      <c r="M1" s="83" t="str">
        <f>B16&amp;" "&amp;B17&amp;" Transposed for Model Use"</f>
        <v>Test Pump Curve  Transposed for Model Use</v>
      </c>
      <c r="N1" s="84"/>
      <c r="O1" s="84"/>
      <c r="P1" s="85"/>
    </row>
    <row r="2" spans="1:18" ht="16.5" thickBot="1" x14ac:dyDescent="0.3">
      <c r="A2" s="7"/>
      <c r="B2" s="15"/>
      <c r="D2" s="9" t="s">
        <v>17</v>
      </c>
      <c r="E2" s="14" t="s">
        <v>72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6" t="s">
        <v>13</v>
      </c>
      <c r="B3" s="87"/>
      <c r="D3" s="10" t="s">
        <v>19</v>
      </c>
      <c r="E3" s="14" t="s">
        <v>65</v>
      </c>
      <c r="G3">
        <v>1</v>
      </c>
      <c r="H3" s="12">
        <v>202.89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70</v>
      </c>
      <c r="G4">
        <v>2</v>
      </c>
      <c r="H4" s="12">
        <v>164.97</v>
      </c>
      <c r="I4" s="31">
        <f t="shared" si="0"/>
        <v>3.0941136</v>
      </c>
      <c r="J4" s="13">
        <v>2148.69</v>
      </c>
      <c r="K4" s="42">
        <v>0.41870000000000002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151.58000000000001</v>
      </c>
      <c r="I5" s="31">
        <f t="shared" si="0"/>
        <v>4.5163152000000002</v>
      </c>
      <c r="J5" s="13">
        <v>3136.33</v>
      </c>
      <c r="K5" s="42">
        <v>0.57489999999999997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135.30000000000001</v>
      </c>
      <c r="I6" s="31">
        <f t="shared" si="0"/>
        <v>5.8827167999999999</v>
      </c>
      <c r="J6" s="13">
        <v>4085.22</v>
      </c>
      <c r="K6" s="42">
        <v>0.68489999999999995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130.82</v>
      </c>
      <c r="I7" s="31">
        <f t="shared" si="0"/>
        <v>6.4436688000000011</v>
      </c>
      <c r="J7" s="13">
        <v>4474.7700000000004</v>
      </c>
      <c r="K7" s="42">
        <v>0.72370000000000001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6" t="s">
        <v>58</v>
      </c>
      <c r="B8" s="87"/>
      <c r="D8" s="10" t="s">
        <v>22</v>
      </c>
      <c r="E8" s="37" t="s">
        <v>71</v>
      </c>
      <c r="G8">
        <v>6</v>
      </c>
      <c r="H8" s="12">
        <v>125</v>
      </c>
      <c r="I8" s="31">
        <f t="shared" si="0"/>
        <v>7.2675792000000001</v>
      </c>
      <c r="J8" s="13">
        <v>5046.93</v>
      </c>
      <c r="K8" s="42">
        <v>0.77070000000000005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123.04</v>
      </c>
      <c r="I9" s="31">
        <f>IF(J9&lt;&gt;"",J9*1440/1000000,NA())</f>
        <v>8.0114400000000003</v>
      </c>
      <c r="J9" s="13">
        <v>5563.5</v>
      </c>
      <c r="K9" s="42">
        <v>0.81710000000000005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117.22</v>
      </c>
      <c r="I10" s="31">
        <f t="shared" ref="I10:I12" si="2">IF(J10&lt;&gt;"",J10*1440/1000000,NA())</f>
        <v>8.8218288000000005</v>
      </c>
      <c r="J10" s="13">
        <v>6126.27</v>
      </c>
      <c r="K10" s="42">
        <v>0.83589999999999998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91.43</v>
      </c>
      <c r="I11" s="31">
        <f t="shared" si="2"/>
        <v>10.721476800000001</v>
      </c>
      <c r="J11" s="13">
        <v>7445.47</v>
      </c>
      <c r="K11" s="42">
        <v>0.79490000000000005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56.06</v>
      </c>
      <c r="I12" s="31">
        <f t="shared" si="2"/>
        <v>12.5996688</v>
      </c>
      <c r="J12" s="44">
        <v>8749.77</v>
      </c>
      <c r="K12" s="45">
        <v>0.61519999999999997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8" t="s">
        <v>66</v>
      </c>
      <c r="E14" s="89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8.82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6125</v>
      </c>
      <c r="J16" s="39" t="s">
        <v>57</v>
      </c>
      <c r="K16" s="18"/>
      <c r="N16" s="81" t="s">
        <v>133</v>
      </c>
      <c r="O16" s="82"/>
      <c r="P16" s="82"/>
      <c r="Q16" s="22"/>
    </row>
    <row r="17" spans="1:16" ht="15.75" customHeight="1" x14ac:dyDescent="0.25">
      <c r="A17" s="17" t="s">
        <v>1</v>
      </c>
      <c r="B17" s="61"/>
      <c r="C17" s="22"/>
      <c r="F17" s="22"/>
      <c r="N17" s="81" t="s">
        <v>134</v>
      </c>
      <c r="O17" s="82"/>
      <c r="P17" s="82"/>
    </row>
    <row r="18" spans="1:16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6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6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6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6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6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6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  <c r="O24" t="s">
        <v>134</v>
      </c>
    </row>
    <row r="25" spans="1:16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O25" s="80" t="s">
        <v>135</v>
      </c>
    </row>
    <row r="26" spans="1:16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6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6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6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6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6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6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5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5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5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5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5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5" x14ac:dyDescent="0.25">
      <c r="B39" s="23"/>
    </row>
    <row r="40" spans="1:15" x14ac:dyDescent="0.25">
      <c r="B40" s="23"/>
    </row>
    <row r="42" spans="1:15" x14ac:dyDescent="0.25">
      <c r="N42" s="91" t="s">
        <v>98</v>
      </c>
      <c r="O42" s="91"/>
    </row>
    <row r="43" spans="1:15" x14ac:dyDescent="0.25">
      <c r="N43" s="90" t="s">
        <v>90</v>
      </c>
      <c r="O43" s="90"/>
    </row>
    <row r="44" spans="1:15" x14ac:dyDescent="0.25">
      <c r="N44" s="90" t="s">
        <v>88</v>
      </c>
      <c r="O44" s="90"/>
    </row>
    <row r="45" spans="1:15" x14ac:dyDescent="0.25">
      <c r="N45" s="90" t="s">
        <v>93</v>
      </c>
      <c r="O45" s="90"/>
    </row>
    <row r="46" spans="1:15" x14ac:dyDescent="0.25">
      <c r="N46" s="90" t="s">
        <v>94</v>
      </c>
      <c r="O46" s="90"/>
    </row>
    <row r="47" spans="1:15" x14ac:dyDescent="0.25">
      <c r="N47" s="90" t="s">
        <v>95</v>
      </c>
      <c r="O47" s="90"/>
    </row>
    <row r="48" spans="1:15" x14ac:dyDescent="0.25">
      <c r="N48" s="90" t="s">
        <v>96</v>
      </c>
      <c r="O48" s="90"/>
    </row>
    <row r="49" spans="14:15" x14ac:dyDescent="0.25">
      <c r="N49" s="90" t="s">
        <v>97</v>
      </c>
      <c r="O49" s="90"/>
    </row>
    <row r="50" spans="14:15" x14ac:dyDescent="0.25">
      <c r="N50" s="90" t="s">
        <v>92</v>
      </c>
      <c r="O50" s="90"/>
    </row>
    <row r="51" spans="14:15" x14ac:dyDescent="0.25">
      <c r="N51" s="90" t="s">
        <v>91</v>
      </c>
      <c r="O51" s="90"/>
    </row>
    <row r="52" spans="14:15" x14ac:dyDescent="0.25">
      <c r="N52" s="90" t="s">
        <v>89</v>
      </c>
      <c r="O52" s="90"/>
    </row>
  </sheetData>
  <sheetProtection selectLockedCells="1"/>
  <dataConsolidate/>
  <mergeCells count="18">
    <mergeCell ref="N42:O42"/>
    <mergeCell ref="N48:O48"/>
    <mergeCell ref="N49:O49"/>
    <mergeCell ref="N50:O50"/>
    <mergeCell ref="N51:O51"/>
    <mergeCell ref="N52:O52"/>
    <mergeCell ref="N43:O43"/>
    <mergeCell ref="N44:O44"/>
    <mergeCell ref="N45:O45"/>
    <mergeCell ref="N46:O46"/>
    <mergeCell ref="N47:O47"/>
    <mergeCell ref="N16:P16"/>
    <mergeCell ref="N17:P17"/>
    <mergeCell ref="H1:K1"/>
    <mergeCell ref="M1:P1"/>
    <mergeCell ref="A3:B3"/>
    <mergeCell ref="A8:B8"/>
    <mergeCell ref="D14:E1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</hyperlinks>
  <pageMargins left="0.47" right="0.34" top="0.28999999999999998" bottom="0.17" header="0.26" footer="0.17"/>
  <pageSetup scale="9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DbInsert">
                <anchor moveWithCells="1" sizeWithCells="1">
                  <from>
                    <xdr:col>13</xdr:col>
                    <xdr:colOff>819150</xdr:colOff>
                    <xdr:row>17</xdr:row>
                    <xdr:rowOff>133350</xdr:rowOff>
                  </from>
                  <to>
                    <xdr:col>14</xdr:col>
                    <xdr:colOff>1104900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53"/>
  <sheetViews>
    <sheetView zoomScaleNormal="100" workbookViewId="0">
      <selection activeCell="E15" sqref="E1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1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64</v>
      </c>
      <c r="D1" s="4"/>
      <c r="E1" s="4"/>
      <c r="G1" s="4"/>
      <c r="H1" s="83" t="s">
        <v>11</v>
      </c>
      <c r="I1" s="84"/>
      <c r="J1" s="84"/>
      <c r="K1" s="85"/>
      <c r="M1" s="83" t="str">
        <f>B16&amp;" "&amp;B17&amp;" Transposed for Model Use"</f>
        <v>Test Pump Curve  Transposed for Model Use</v>
      </c>
      <c r="N1" s="84"/>
      <c r="O1" s="84"/>
      <c r="P1" s="85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6" t="s">
        <v>13</v>
      </c>
      <c r="B3" s="87"/>
      <c r="D3" s="10" t="s">
        <v>19</v>
      </c>
      <c r="E3" s="14" t="s">
        <v>65</v>
      </c>
      <c r="G3">
        <v>1</v>
      </c>
      <c r="H3" s="12">
        <v>199.35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73</v>
      </c>
      <c r="G4">
        <v>2</v>
      </c>
      <c r="H4" s="12">
        <v>172.81</v>
      </c>
      <c r="I4" s="31">
        <f t="shared" si="0"/>
        <v>2.8637855999999999</v>
      </c>
      <c r="J4" s="13">
        <v>1988.74</v>
      </c>
      <c r="K4" s="42">
        <v>0.40039999999999998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154.21</v>
      </c>
      <c r="I5" s="31">
        <f t="shared" si="0"/>
        <v>4.3244639999999999</v>
      </c>
      <c r="J5" s="13">
        <v>3003.1</v>
      </c>
      <c r="K5" s="42">
        <v>0.55879999999999996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136.97</v>
      </c>
      <c r="I6" s="31">
        <f t="shared" si="0"/>
        <v>5.7707424000000005</v>
      </c>
      <c r="J6" s="13">
        <v>4007.46</v>
      </c>
      <c r="K6" s="42">
        <v>0.67589999999999995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129.19999999999999</v>
      </c>
      <c r="I7" s="31">
        <f t="shared" si="0"/>
        <v>6.5010383999999997</v>
      </c>
      <c r="J7" s="13">
        <v>4514.6099999999997</v>
      </c>
      <c r="K7" s="42">
        <v>0.72340000000000004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6" t="s">
        <v>58</v>
      </c>
      <c r="B8" s="87"/>
      <c r="D8" s="10" t="s">
        <v>22</v>
      </c>
      <c r="E8" s="37" t="s">
        <v>71</v>
      </c>
      <c r="G8">
        <v>6</v>
      </c>
      <c r="H8" s="12">
        <v>124.59</v>
      </c>
      <c r="I8" s="31">
        <f t="shared" si="0"/>
        <v>7.2273744000000004</v>
      </c>
      <c r="J8" s="13">
        <v>5019.01</v>
      </c>
      <c r="K8" s="42">
        <v>0.7712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121.41</v>
      </c>
      <c r="I9" s="31">
        <f>IF(J9&lt;&gt;"",J9*1440/1000000,NA())</f>
        <v>8.0256240000000005</v>
      </c>
      <c r="J9" s="13">
        <v>5573.35</v>
      </c>
      <c r="K9" s="42">
        <v>0.8175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115.21</v>
      </c>
      <c r="I10" s="31">
        <f t="shared" ref="I10:I12" si="2">IF(J10&lt;&gt;"",J10*1440/1000000,NA())</f>
        <v>8.809488</v>
      </c>
      <c r="J10" s="13">
        <v>6117.7</v>
      </c>
      <c r="K10" s="42">
        <v>0.8327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90.56</v>
      </c>
      <c r="I11" s="31">
        <f t="shared" si="2"/>
        <v>10.643299200000001</v>
      </c>
      <c r="J11" s="13">
        <v>7391.18</v>
      </c>
      <c r="K11" s="42">
        <v>0.79900000000000004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52.32</v>
      </c>
      <c r="I12" s="31">
        <f t="shared" si="2"/>
        <v>12.664296</v>
      </c>
      <c r="J12" s="44">
        <v>8794.65</v>
      </c>
      <c r="K12" s="45">
        <v>0.59470000000000001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8" t="s">
        <v>66</v>
      </c>
      <c r="E14" s="89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/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0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91" t="s">
        <v>98</v>
      </c>
      <c r="O41" s="91"/>
    </row>
    <row r="42" spans="1:17" x14ac:dyDescent="0.25">
      <c r="N42" s="90" t="s">
        <v>109</v>
      </c>
      <c r="O42" s="90"/>
    </row>
    <row r="43" spans="1:17" x14ac:dyDescent="0.25">
      <c r="N43" s="90" t="s">
        <v>110</v>
      </c>
      <c r="O43" s="90"/>
      <c r="P43" s="90"/>
      <c r="Q43" s="90"/>
    </row>
    <row r="44" spans="1:17" x14ac:dyDescent="0.25">
      <c r="N44" s="90" t="s">
        <v>111</v>
      </c>
      <c r="O44" s="90"/>
      <c r="P44" s="90"/>
      <c r="Q44" s="90"/>
    </row>
    <row r="45" spans="1:17" x14ac:dyDescent="0.25">
      <c r="N45" s="90" t="s">
        <v>112</v>
      </c>
      <c r="O45" s="90"/>
      <c r="P45" s="90"/>
      <c r="Q45" s="90"/>
    </row>
    <row r="46" spans="1:17" x14ac:dyDescent="0.25">
      <c r="N46" s="90" t="s">
        <v>114</v>
      </c>
      <c r="O46" s="90"/>
      <c r="P46" s="90"/>
      <c r="Q46" s="90"/>
    </row>
    <row r="47" spans="1:17" x14ac:dyDescent="0.25">
      <c r="N47" s="90" t="s">
        <v>115</v>
      </c>
      <c r="O47" s="90"/>
      <c r="P47" s="90"/>
      <c r="Q47" s="90"/>
    </row>
    <row r="48" spans="1:17" x14ac:dyDescent="0.25">
      <c r="N48" s="90" t="s">
        <v>116</v>
      </c>
      <c r="O48" s="90"/>
      <c r="P48" s="90"/>
      <c r="Q48" s="90"/>
    </row>
    <row r="49" spans="14:17" x14ac:dyDescent="0.25">
      <c r="N49" s="90" t="s">
        <v>117</v>
      </c>
      <c r="O49" s="90"/>
      <c r="P49" s="90"/>
      <c r="Q49" s="90"/>
    </row>
    <row r="50" spans="14:17" x14ac:dyDescent="0.25">
      <c r="N50" s="90" t="s">
        <v>118</v>
      </c>
      <c r="O50" s="90"/>
      <c r="P50" s="90"/>
      <c r="Q50" s="90"/>
    </row>
    <row r="51" spans="14:17" x14ac:dyDescent="0.25">
      <c r="N51" s="90" t="s">
        <v>119</v>
      </c>
      <c r="O51" s="90"/>
      <c r="P51" s="90"/>
      <c r="Q51" s="90"/>
    </row>
    <row r="52" spans="14:17" x14ac:dyDescent="0.25">
      <c r="N52" s="90"/>
      <c r="O52" s="90"/>
    </row>
    <row r="53" spans="14:17" x14ac:dyDescent="0.25">
      <c r="N53" s="90"/>
      <c r="O53" s="90"/>
    </row>
  </sheetData>
  <sheetProtection selectLockedCells="1"/>
  <dataConsolidate/>
  <mergeCells count="27">
    <mergeCell ref="N46:O46"/>
    <mergeCell ref="N47:O47"/>
    <mergeCell ref="N48:O48"/>
    <mergeCell ref="N49:O49"/>
    <mergeCell ref="N50:O50"/>
    <mergeCell ref="N41:O41"/>
    <mergeCell ref="N42:O42"/>
    <mergeCell ref="N43:O43"/>
    <mergeCell ref="N44:O44"/>
    <mergeCell ref="N45:O45"/>
    <mergeCell ref="N53:O53"/>
    <mergeCell ref="P48:Q48"/>
    <mergeCell ref="P49:Q49"/>
    <mergeCell ref="P50:Q50"/>
    <mergeCell ref="P51:Q51"/>
    <mergeCell ref="N52:O52"/>
    <mergeCell ref="N51:O51"/>
    <mergeCell ref="P43:Q43"/>
    <mergeCell ref="P44:Q44"/>
    <mergeCell ref="P45:Q45"/>
    <mergeCell ref="P46:Q46"/>
    <mergeCell ref="P47:Q47"/>
    <mergeCell ref="H1:K1"/>
    <mergeCell ref="M1:P1"/>
    <mergeCell ref="A3:B3"/>
    <mergeCell ref="A8:B8"/>
    <mergeCell ref="D14:E14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1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1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1"/>
  <sheetViews>
    <sheetView zoomScaleNormal="100" workbookViewId="0">
      <selection activeCell="P9" sqref="P9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0.285156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63</v>
      </c>
      <c r="D1" s="4"/>
      <c r="E1" s="4"/>
      <c r="G1" s="4"/>
      <c r="H1" s="83" t="s">
        <v>11</v>
      </c>
      <c r="I1" s="84"/>
      <c r="J1" s="84"/>
      <c r="K1" s="85"/>
      <c r="M1" s="83" t="str">
        <f>B16&amp;" "&amp;B17&amp;" Transposed for Model Use"</f>
        <v>Test Pump Curve  Transposed for Model Use</v>
      </c>
      <c r="N1" s="84"/>
      <c r="O1" s="84"/>
      <c r="P1" s="85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6" t="s">
        <v>13</v>
      </c>
      <c r="B3" s="87"/>
      <c r="D3" s="10" t="s">
        <v>19</v>
      </c>
      <c r="E3" s="14" t="s">
        <v>65</v>
      </c>
      <c r="G3">
        <v>1</v>
      </c>
      <c r="H3" s="12">
        <v>202.54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74</v>
      </c>
      <c r="G4">
        <v>2</v>
      </c>
      <c r="H4" s="12">
        <v>164.15</v>
      </c>
      <c r="I4" s="31">
        <f t="shared" si="0"/>
        <v>2.950056</v>
      </c>
      <c r="J4" s="13">
        <v>2048.65</v>
      </c>
      <c r="K4" s="42">
        <v>0.39589999999999997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152.80000000000001</v>
      </c>
      <c r="I5" s="31">
        <f t="shared" si="0"/>
        <v>4.3891200000000001</v>
      </c>
      <c r="J5" s="13">
        <v>3048</v>
      </c>
      <c r="K5" s="42">
        <v>0.5605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136.49</v>
      </c>
      <c r="I6" s="31">
        <f t="shared" si="0"/>
        <v>5.7418272000000004</v>
      </c>
      <c r="J6" s="13">
        <v>3987.38</v>
      </c>
      <c r="K6" s="42">
        <v>0.66979999999999995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129.32</v>
      </c>
      <c r="I7" s="31">
        <f t="shared" si="0"/>
        <v>6.5333088000000004</v>
      </c>
      <c r="J7" s="13">
        <v>4537.0200000000004</v>
      </c>
      <c r="K7" s="42">
        <v>0.72509999999999997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6" t="s">
        <v>58</v>
      </c>
      <c r="B8" s="87"/>
      <c r="D8" s="10" t="s">
        <v>22</v>
      </c>
      <c r="E8" s="37" t="s">
        <v>71</v>
      </c>
      <c r="G8">
        <v>6</v>
      </c>
      <c r="H8" s="12">
        <v>125.83</v>
      </c>
      <c r="I8" s="31">
        <f t="shared" si="0"/>
        <v>7.1808768000000009</v>
      </c>
      <c r="J8" s="13">
        <v>4986.72</v>
      </c>
      <c r="K8" s="42">
        <v>0.76480000000000004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122.42</v>
      </c>
      <c r="I9" s="31">
        <f>IF(J9&lt;&gt;"",J9*1440/1000000,NA())</f>
        <v>8.0011440000000018</v>
      </c>
      <c r="J9" s="13">
        <v>5556.35</v>
      </c>
      <c r="K9" s="42">
        <v>0.80879999999999996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116.92</v>
      </c>
      <c r="I10" s="31">
        <f t="shared" ref="I10:I12" si="2">IF(J10&lt;&gt;"",J10*1440/1000000,NA())</f>
        <v>8.7998111999999988</v>
      </c>
      <c r="J10" s="13">
        <v>6110.98</v>
      </c>
      <c r="K10" s="42">
        <v>0.82950000000000002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91.59</v>
      </c>
      <c r="I11" s="31">
        <f t="shared" si="2"/>
        <v>10.663387199999999</v>
      </c>
      <c r="J11" s="13">
        <v>7405.13</v>
      </c>
      <c r="K11" s="42">
        <v>0.79049999999999998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51.99</v>
      </c>
      <c r="I12" s="31">
        <f t="shared" si="2"/>
        <v>12.714119999999999</v>
      </c>
      <c r="J12" s="44">
        <v>8829.25</v>
      </c>
      <c r="K12" s="45">
        <v>0.57840000000000003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8" t="s">
        <v>66</v>
      </c>
      <c r="E14" s="89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12.71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8826.3888888888887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91" t="s">
        <v>98</v>
      </c>
      <c r="O41" s="91"/>
    </row>
    <row r="42" spans="1:17" x14ac:dyDescent="0.25">
      <c r="N42" s="90" t="s">
        <v>120</v>
      </c>
      <c r="O42" s="90"/>
    </row>
    <row r="43" spans="1:17" x14ac:dyDescent="0.25">
      <c r="N43" s="90" t="s">
        <v>121</v>
      </c>
      <c r="O43" s="90"/>
      <c r="P43" s="90"/>
      <c r="Q43" s="90"/>
    </row>
    <row r="44" spans="1:17" x14ac:dyDescent="0.25">
      <c r="N44" s="90" t="s">
        <v>122</v>
      </c>
      <c r="O44" s="90"/>
      <c r="P44" s="90"/>
      <c r="Q44" s="90"/>
    </row>
    <row r="45" spans="1:17" x14ac:dyDescent="0.25">
      <c r="N45" s="90" t="s">
        <v>123</v>
      </c>
      <c r="O45" s="90"/>
      <c r="P45" s="90"/>
      <c r="Q45" s="90"/>
    </row>
    <row r="46" spans="1:17" x14ac:dyDescent="0.25">
      <c r="N46" s="90" t="s">
        <v>113</v>
      </c>
      <c r="O46" s="90"/>
      <c r="P46" s="90"/>
      <c r="Q46" s="90"/>
    </row>
    <row r="47" spans="1:17" x14ac:dyDescent="0.25">
      <c r="N47" s="90" t="s">
        <v>124</v>
      </c>
      <c r="O47" s="90"/>
      <c r="P47" s="90"/>
      <c r="Q47" s="90"/>
    </row>
    <row r="48" spans="1:17" x14ac:dyDescent="0.25">
      <c r="N48" s="90" t="s">
        <v>116</v>
      </c>
      <c r="O48" s="90"/>
      <c r="P48" s="90"/>
      <c r="Q48" s="90"/>
    </row>
    <row r="49" spans="14:15" x14ac:dyDescent="0.25">
      <c r="N49" s="90" t="s">
        <v>125</v>
      </c>
      <c r="O49" s="90"/>
    </row>
    <row r="50" spans="14:15" x14ac:dyDescent="0.25">
      <c r="N50" s="90" t="s">
        <v>126</v>
      </c>
      <c r="O50" s="90"/>
    </row>
    <row r="51" spans="14:15" x14ac:dyDescent="0.25">
      <c r="N51" s="90" t="s">
        <v>127</v>
      </c>
      <c r="O51" s="90"/>
    </row>
  </sheetData>
  <sheetProtection selectLockedCells="1"/>
  <dataConsolidate/>
  <mergeCells count="22">
    <mergeCell ref="N49:O49"/>
    <mergeCell ref="N50:O50"/>
    <mergeCell ref="N51:O51"/>
    <mergeCell ref="P48:Q48"/>
    <mergeCell ref="N41:O41"/>
    <mergeCell ref="N42:O42"/>
    <mergeCell ref="N43:O43"/>
    <mergeCell ref="N44:O44"/>
    <mergeCell ref="N45:O45"/>
    <mergeCell ref="N46:O46"/>
    <mergeCell ref="N47:O47"/>
    <mergeCell ref="N48:O48"/>
    <mergeCell ref="P43:Q43"/>
    <mergeCell ref="P44:Q44"/>
    <mergeCell ref="P45:Q45"/>
    <mergeCell ref="P46:Q46"/>
    <mergeCell ref="P47:Q47"/>
    <mergeCell ref="H1:K1"/>
    <mergeCell ref="M1:P1"/>
    <mergeCell ref="A3:B3"/>
    <mergeCell ref="A8:B8"/>
    <mergeCell ref="D14:E1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2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2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S57"/>
  <sheetViews>
    <sheetView zoomScale="85" zoomScaleNormal="85" workbookViewId="0">
      <selection activeCell="C1" sqref="C1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11" width="15.28515625" customWidth="1"/>
    <col min="12" max="12" width="12.140625" bestFit="1" customWidth="1"/>
    <col min="13" max="13" width="3.42578125" customWidth="1"/>
    <col min="14" max="14" width="7" customWidth="1"/>
    <col min="15" max="15" width="14.42578125" customWidth="1"/>
    <col min="16" max="16" width="28.2851562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62</v>
      </c>
      <c r="D1" s="4"/>
      <c r="E1" s="4"/>
      <c r="F1" s="4"/>
      <c r="G1" s="83" t="s">
        <v>11</v>
      </c>
      <c r="H1" s="84"/>
      <c r="I1" s="84"/>
      <c r="J1" s="84"/>
      <c r="K1" s="85"/>
      <c r="N1" s="83" t="str">
        <f>B17&amp;" "&amp;B18&amp;" Transposed for Model Use"</f>
        <v>Test Pump Curve 4/16/18 Transposed for Model Use</v>
      </c>
      <c r="O1" s="84"/>
      <c r="P1" s="84"/>
      <c r="Q1" s="85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6" t="s">
        <v>13</v>
      </c>
      <c r="B3" s="87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313.18280000000004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77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294.8121000000001</v>
      </c>
      <c r="P4" s="33">
        <f t="shared" si="1"/>
        <v>1.3176084326939692</v>
      </c>
      <c r="Q4" s="49">
        <f t="shared" si="1"/>
        <v>0.15241420648088122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270.65030000000002</v>
      </c>
      <c r="P5" s="33">
        <f t="shared" si="1"/>
        <v>3.7872242382351242</v>
      </c>
      <c r="Q5" s="49">
        <f t="shared" si="1"/>
        <v>0.40981023393188987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252.19340000000011</v>
      </c>
      <c r="P6" s="33">
        <f t="shared" si="1"/>
        <v>5.2632336846955816</v>
      </c>
      <c r="Q6" s="49">
        <f t="shared" si="1"/>
        <v>0.53437378720889872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242.28940000000011</v>
      </c>
      <c r="P7" s="33">
        <f t="shared" si="1"/>
        <v>6.6931628362421511</v>
      </c>
      <c r="Q7" s="49">
        <f t="shared" si="1"/>
        <v>0.64502791620314837</v>
      </c>
      <c r="R7" s="60"/>
    </row>
    <row r="8" spans="1:19" s="16" customFormat="1" ht="15" customHeight="1" x14ac:dyDescent="0.25">
      <c r="A8" s="86" t="s">
        <v>58</v>
      </c>
      <c r="B8" s="87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235.31940000000009</v>
      </c>
      <c r="P8" s="33">
        <f t="shared" si="1"/>
        <v>7.4045273889752892</v>
      </c>
      <c r="Q8" s="49">
        <f t="shared" si="1"/>
        <v>0.68547758273754655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223.84720000000016</v>
      </c>
      <c r="P9" s="33">
        <f t="shared" si="1"/>
        <v>9.5285409826622889</v>
      </c>
      <c r="Q9" s="49">
        <f t="shared" si="1"/>
        <v>0.80096376025509097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210.33519999999999</v>
      </c>
      <c r="P10" s="33">
        <f t="shared" si="1"/>
        <v>11.617994355163873</v>
      </c>
      <c r="Q10" s="49">
        <f t="shared" si="1"/>
        <v>0.89410282335232127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191.13280000000009</v>
      </c>
      <c r="P11" s="33">
        <f t="shared" si="1"/>
        <v>12.932722769425723</v>
      </c>
      <c r="Q11" s="49">
        <f t="shared" si="1"/>
        <v>0.90015258033857004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8" t="s">
        <v>66</v>
      </c>
      <c r="E15" s="89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  <c r="O16" t="s">
        <v>83</v>
      </c>
    </row>
    <row r="17" spans="1:16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  <c r="O17" s="75" t="s">
        <v>86</v>
      </c>
    </row>
    <row r="18" spans="1:16" ht="15.75" customHeight="1" x14ac:dyDescent="0.25">
      <c r="A18" s="17" t="s">
        <v>1</v>
      </c>
      <c r="B18" s="61" t="s">
        <v>132</v>
      </c>
      <c r="C18" s="22"/>
      <c r="F18" s="22"/>
    </row>
    <row r="19" spans="1:16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  <c r="O19" t="s">
        <v>85</v>
      </c>
      <c r="P19" s="22">
        <v>155</v>
      </c>
    </row>
    <row r="20" spans="1:16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  <c r="O20" t="s">
        <v>84</v>
      </c>
      <c r="P20" s="76">
        <f xml:space="preserve"> 0.0022*P19+ 0.48</f>
        <v>0.82099999999999995</v>
      </c>
    </row>
    <row r="21" spans="1:16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/>
      <c r="L21" s="8"/>
      <c r="M21" s="8"/>
    </row>
    <row r="22" spans="1:16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23.05</v>
      </c>
      <c r="C22" s="63">
        <v>23.1</v>
      </c>
      <c r="D22" s="63">
        <v>23.1</v>
      </c>
      <c r="E22" s="63">
        <v>23.1</v>
      </c>
      <c r="F22" s="63">
        <v>23.1</v>
      </c>
      <c r="G22" s="63">
        <v>23.12</v>
      </c>
      <c r="H22" s="63">
        <v>23.12</v>
      </c>
      <c r="I22" s="63">
        <v>23.1</v>
      </c>
      <c r="J22" s="63">
        <v>23.09</v>
      </c>
      <c r="K22" s="63"/>
      <c r="L22" s="8"/>
      <c r="M22" s="8"/>
      <c r="O22" t="s">
        <v>81</v>
      </c>
      <c r="P22" t="s">
        <v>82</v>
      </c>
    </row>
    <row r="23" spans="1:16" x14ac:dyDescent="0.25">
      <c r="A23" s="3" t="s">
        <v>45</v>
      </c>
      <c r="B23" s="77">
        <v>133.21766233766235</v>
      </c>
      <c r="C23" s="77">
        <v>125.28662337662335</v>
      </c>
      <c r="D23" s="77">
        <v>114.82696969696968</v>
      </c>
      <c r="E23" s="77">
        <v>106.83696969696969</v>
      </c>
      <c r="F23" s="77">
        <v>102.54952380952381</v>
      </c>
      <c r="G23" s="77">
        <v>99.540865800865802</v>
      </c>
      <c r="H23" s="77">
        <v>94.574545454545458</v>
      </c>
      <c r="I23" s="77">
        <v>88.716536796536801</v>
      </c>
      <c r="J23" s="77">
        <v>80.399480519480505</v>
      </c>
      <c r="K23" s="62"/>
      <c r="L23" s="8"/>
      <c r="M23" s="8"/>
      <c r="O23" s="60">
        <v>1</v>
      </c>
      <c r="P23">
        <v>240</v>
      </c>
    </row>
    <row r="24" spans="1:16" x14ac:dyDescent="0.25">
      <c r="A24" s="3" t="s">
        <v>48</v>
      </c>
      <c r="B24" s="62">
        <v>58.5</v>
      </c>
      <c r="C24" s="62">
        <v>58.2</v>
      </c>
      <c r="D24" s="62">
        <v>52.4</v>
      </c>
      <c r="E24" s="62">
        <v>66.2</v>
      </c>
      <c r="F24" s="62">
        <v>64.2</v>
      </c>
      <c r="G24" s="62">
        <v>67.400000000000006</v>
      </c>
      <c r="H24" s="62">
        <v>66.2</v>
      </c>
      <c r="I24" s="62">
        <v>71.7</v>
      </c>
      <c r="J24" s="62">
        <v>70.2</v>
      </c>
      <c r="K24" s="62"/>
      <c r="L24" s="8"/>
      <c r="M24" s="8"/>
      <c r="O24" s="60">
        <v>0.91</v>
      </c>
      <c r="P24">
        <v>200</v>
      </c>
    </row>
    <row r="25" spans="1:16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  <c r="O25" s="60">
        <v>0.88</v>
      </c>
      <c r="P25">
        <v>180</v>
      </c>
    </row>
    <row r="26" spans="1:16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  <c r="O26" s="60">
        <v>0.82</v>
      </c>
      <c r="P26">
        <v>160</v>
      </c>
    </row>
    <row r="27" spans="1:16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  <c r="O27" s="60">
        <v>0.77</v>
      </c>
      <c r="P27">
        <v>135</v>
      </c>
    </row>
    <row r="28" spans="1:16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6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6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6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6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J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ref="K34" si="5">IF(K26&lt;&gt;"",AVERAGE(K26:K28),"")</f>
        <v/>
      </c>
    </row>
    <row r="35" spans="1:18" x14ac:dyDescent="0.25">
      <c r="A35" s="25" t="str">
        <f>"Ave. Volts "&amp; B18</f>
        <v>Ave. Volts 4/16/18</v>
      </c>
      <c r="B35" s="24">
        <f t="shared" ref="B35:J35" si="6">IF(ISERR(AVERAGE(B29:B31))=FALSE,AVERAGE(B29:B31),"")</f>
        <v>4070</v>
      </c>
      <c r="C35" s="24">
        <f t="shared" si="6"/>
        <v>4070</v>
      </c>
      <c r="D35" s="24">
        <f t="shared" si="6"/>
        <v>4070</v>
      </c>
      <c r="E35" s="24">
        <f t="shared" si="6"/>
        <v>4070</v>
      </c>
      <c r="F35" s="24">
        <f t="shared" si="6"/>
        <v>4070</v>
      </c>
      <c r="G35" s="24">
        <f t="shared" si="6"/>
        <v>4080</v>
      </c>
      <c r="H35" s="24">
        <f t="shared" si="6"/>
        <v>4080</v>
      </c>
      <c r="I35" s="24">
        <f t="shared" si="6"/>
        <v>4075</v>
      </c>
      <c r="J35" s="24">
        <f t="shared" si="6"/>
        <v>4075</v>
      </c>
      <c r="K35" s="24" t="str">
        <f t="shared" ref="K35" si="7">IF(ISERR(AVERAGE(K29:K31))=FALSE,AVERAGE(K29:K31),"")</f>
        <v/>
      </c>
    </row>
    <row r="36" spans="1:18" x14ac:dyDescent="0.25">
      <c r="A36" s="3" t="s">
        <v>5</v>
      </c>
      <c r="B36" s="19">
        <f t="shared" ref="B36:J36" si="8">IF(B23="","",IF(LEFT($A$22,5)="Error","Suction Type?",IF(LEFT($A$22,5)="Reser",(B23*2.31+$B$9)-(B22+$B$10),IF(LEFT($A$22,5)="Sucti",(B23*2.31+$B$9)-((B22*2.31)+$B$11)))))</f>
        <v>313.18280000000004</v>
      </c>
      <c r="C36" s="19">
        <f t="shared" si="8"/>
        <v>294.8121000000001</v>
      </c>
      <c r="D36" s="19">
        <f t="shared" si="8"/>
        <v>270.65030000000002</v>
      </c>
      <c r="E36" s="19">
        <f t="shared" si="8"/>
        <v>252.19340000000011</v>
      </c>
      <c r="F36" s="19">
        <f t="shared" si="8"/>
        <v>242.28940000000011</v>
      </c>
      <c r="G36" s="19">
        <f t="shared" si="8"/>
        <v>235.31940000000009</v>
      </c>
      <c r="H36" s="19">
        <f t="shared" si="8"/>
        <v>223.84720000000016</v>
      </c>
      <c r="I36" s="19">
        <f t="shared" si="8"/>
        <v>210.33519999999999</v>
      </c>
      <c r="J36" s="19">
        <f t="shared" si="8"/>
        <v>191.13280000000009</v>
      </c>
      <c r="K36" s="19" t="str">
        <f t="shared" ref="K36" si="9">IF(K23="","",IF(LEFT($A$22,5)="Error","Suction Type?",IF(LEFT($A$22,5)="Reser",(K23*2.31+$B$9)-(K22+$B$10),IF(LEFT($A$22,5)="Sucti",(K23*2.31+$B$9)-((K22*2.31)+$B$11)))))</f>
        <v/>
      </c>
    </row>
    <row r="37" spans="1:18" x14ac:dyDescent="0.25">
      <c r="A37" s="3" t="s">
        <v>6</v>
      </c>
      <c r="B37" s="20">
        <f t="shared" ref="B37:J37" si="10">IF(B25="","",B25*1000000/1440)</f>
        <v>0</v>
      </c>
      <c r="C37" s="20">
        <f t="shared" si="10"/>
        <v>915.00585603747868</v>
      </c>
      <c r="D37" s="20">
        <f t="shared" si="10"/>
        <v>2630.0168321077253</v>
      </c>
      <c r="E37" s="20">
        <f t="shared" si="10"/>
        <v>3655.0233921497097</v>
      </c>
      <c r="F37" s="20">
        <f t="shared" si="10"/>
        <v>4648.0297473903829</v>
      </c>
      <c r="G37" s="20">
        <f t="shared" si="10"/>
        <v>5142.032909010617</v>
      </c>
      <c r="H37" s="20">
        <f t="shared" si="10"/>
        <v>6617.0423490710336</v>
      </c>
      <c r="I37" s="20">
        <f t="shared" si="10"/>
        <v>8068.0516355304671</v>
      </c>
      <c r="J37" s="20">
        <f t="shared" si="10"/>
        <v>8981.0574787678634</v>
      </c>
      <c r="K37" s="20" t="str">
        <f t="shared" ref="K37" si="11">IF(K25="","",K25*1000000/1440)</f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12">IF(C32&lt;&gt;"",C36*C37/3960/C33,"")</f>
        <v>0.15241420648088122</v>
      </c>
      <c r="D38" s="21">
        <f t="shared" si="12"/>
        <v>0.40981023393188987</v>
      </c>
      <c r="E38" s="21">
        <f t="shared" si="12"/>
        <v>0.53437378720889872</v>
      </c>
      <c r="F38" s="21">
        <f t="shared" si="12"/>
        <v>0.64502791620314837</v>
      </c>
      <c r="G38" s="21">
        <f t="shared" si="12"/>
        <v>0.68547758273754655</v>
      </c>
      <c r="H38" s="21">
        <f t="shared" si="12"/>
        <v>0.80096376025509097</v>
      </c>
      <c r="I38" s="21">
        <f t="shared" si="12"/>
        <v>0.89410282335232127</v>
      </c>
      <c r="J38" s="21">
        <f t="shared" si="12"/>
        <v>0.90015258033857004</v>
      </c>
      <c r="K38" s="21" t="str">
        <f t="shared" si="12"/>
        <v/>
      </c>
    </row>
    <row r="40" spans="1:18" x14ac:dyDescent="0.25">
      <c r="B40" s="23"/>
    </row>
    <row r="41" spans="1:18" x14ac:dyDescent="0.25">
      <c r="B41" s="23"/>
    </row>
    <row r="47" spans="1:18" x14ac:dyDescent="0.25">
      <c r="O47" s="91" t="s">
        <v>98</v>
      </c>
      <c r="P47" s="91"/>
    </row>
    <row r="48" spans="1:18" x14ac:dyDescent="0.25">
      <c r="O48" s="90" t="s">
        <v>99</v>
      </c>
      <c r="P48" s="90"/>
      <c r="Q48" s="90"/>
      <c r="R48" s="90"/>
    </row>
    <row r="49" spans="15:18" x14ac:dyDescent="0.25">
      <c r="O49" s="90" t="s">
        <v>100</v>
      </c>
      <c r="P49" s="90"/>
      <c r="Q49" s="90"/>
      <c r="R49" s="90"/>
    </row>
    <row r="50" spans="15:18" x14ac:dyDescent="0.25">
      <c r="O50" s="90" t="s">
        <v>101</v>
      </c>
      <c r="P50" s="90"/>
      <c r="Q50" s="90"/>
      <c r="R50" s="90"/>
    </row>
    <row r="51" spans="15:18" x14ac:dyDescent="0.25">
      <c r="O51" s="90" t="s">
        <v>102</v>
      </c>
      <c r="P51" s="90"/>
      <c r="Q51" s="90"/>
      <c r="R51" s="90"/>
    </row>
    <row r="52" spans="15:18" x14ac:dyDescent="0.25">
      <c r="O52" s="90" t="s">
        <v>103</v>
      </c>
      <c r="P52" s="90"/>
      <c r="Q52" s="90"/>
      <c r="R52" s="90"/>
    </row>
    <row r="53" spans="15:18" x14ac:dyDescent="0.25">
      <c r="O53" s="90" t="s">
        <v>104</v>
      </c>
      <c r="P53" s="90"/>
      <c r="Q53" s="90"/>
      <c r="R53" s="90"/>
    </row>
    <row r="54" spans="15:18" x14ac:dyDescent="0.25">
      <c r="O54" s="90" t="s">
        <v>105</v>
      </c>
      <c r="P54" s="90"/>
    </row>
    <row r="55" spans="15:18" x14ac:dyDescent="0.25">
      <c r="O55" s="90" t="s">
        <v>106</v>
      </c>
      <c r="P55" s="90"/>
    </row>
    <row r="56" spans="15:18" x14ac:dyDescent="0.25">
      <c r="O56" s="90" t="s">
        <v>107</v>
      </c>
      <c r="P56" s="90"/>
    </row>
    <row r="57" spans="15:18" x14ac:dyDescent="0.25">
      <c r="O57" s="90" t="s">
        <v>108</v>
      </c>
      <c r="P57" s="90"/>
    </row>
  </sheetData>
  <sheetProtection selectLockedCells="1"/>
  <dataConsolidate/>
  <mergeCells count="22">
    <mergeCell ref="O54:P54"/>
    <mergeCell ref="O55:P55"/>
    <mergeCell ref="O56:P56"/>
    <mergeCell ref="O57:P57"/>
    <mergeCell ref="Q53:R53"/>
    <mergeCell ref="O47:P47"/>
    <mergeCell ref="O48:P48"/>
    <mergeCell ref="O49:P49"/>
    <mergeCell ref="O50:P50"/>
    <mergeCell ref="O51:P51"/>
    <mergeCell ref="O52:P52"/>
    <mergeCell ref="O53:P53"/>
    <mergeCell ref="Q48:R48"/>
    <mergeCell ref="Q49:R49"/>
    <mergeCell ref="Q50:R50"/>
    <mergeCell ref="Q51:R51"/>
    <mergeCell ref="Q52:R52"/>
    <mergeCell ref="N1:Q1"/>
    <mergeCell ref="A3:B3"/>
    <mergeCell ref="A8:B8"/>
    <mergeCell ref="D15:E15"/>
    <mergeCell ref="G1:K1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3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300-000001000000}"/>
  </dataValidations>
  <pageMargins left="0.47" right="0.34" top="0.28999999999999998" bottom="0.17" header="0.26" footer="0.17"/>
  <pageSetup scale="8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S53"/>
  <sheetViews>
    <sheetView zoomScale="115" zoomScaleNormal="115" workbookViewId="0">
      <selection activeCell="F22" sqref="F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7" width="8.42578125" customWidth="1"/>
    <col min="8" max="9" width="11" customWidth="1"/>
    <col min="10" max="10" width="11.85546875" customWidth="1"/>
    <col min="11" max="12" width="12.140625" customWidth="1"/>
    <col min="13" max="13" width="3.42578125" customWidth="1"/>
    <col min="14" max="14" width="7" customWidth="1"/>
    <col min="15" max="15" width="14.42578125" customWidth="1"/>
    <col min="16" max="16" width="30.710937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131</v>
      </c>
      <c r="D1" s="4"/>
      <c r="E1" s="4"/>
      <c r="F1" s="4"/>
      <c r="G1" s="83" t="s">
        <v>11</v>
      </c>
      <c r="H1" s="84"/>
      <c r="I1" s="84"/>
      <c r="J1" s="84"/>
      <c r="K1" s="85"/>
      <c r="N1" s="83" t="str">
        <f>B17&amp;" "&amp;B18&amp;" Transposed for Model Use"</f>
        <v>Test Pump Curve 4/16/18 Transposed for Model Use</v>
      </c>
      <c r="O1" s="84"/>
      <c r="P1" s="84"/>
      <c r="Q1" s="85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6" t="s">
        <v>13</v>
      </c>
      <c r="B3" s="87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359.22199999999998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87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294.76299999999992</v>
      </c>
      <c r="P4" s="33">
        <f t="shared" si="1"/>
        <v>1.3176084326939692</v>
      </c>
      <c r="Q4" s="49">
        <f t="shared" si="1"/>
        <v>0.15238882238864671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270.48800000000006</v>
      </c>
      <c r="P5" s="33">
        <f t="shared" si="1"/>
        <v>3.7872242382351242</v>
      </c>
      <c r="Q5" s="49">
        <f t="shared" si="1"/>
        <v>0.40956448433927117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252.00800000000004</v>
      </c>
      <c r="P6" s="33">
        <f t="shared" si="1"/>
        <v>5.2632336846955816</v>
      </c>
      <c r="Q6" s="49">
        <f t="shared" si="1"/>
        <v>0.53398094227263726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242.05500000000006</v>
      </c>
      <c r="P7" s="33">
        <f t="shared" si="1"/>
        <v>6.6931628362421511</v>
      </c>
      <c r="Q7" s="49">
        <f t="shared" si="1"/>
        <v>0.6444038916128938</v>
      </c>
      <c r="R7" s="60"/>
    </row>
    <row r="8" spans="1:19" s="16" customFormat="1" ht="15" customHeight="1" x14ac:dyDescent="0.25">
      <c r="A8" s="86" t="s">
        <v>58</v>
      </c>
      <c r="B8" s="87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235.125</v>
      </c>
      <c r="P8" s="33">
        <f t="shared" si="1"/>
        <v>7.4045273889752892</v>
      </c>
      <c r="Q8" s="49">
        <f t="shared" si="1"/>
        <v>0.68491130200555306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223.57500000000005</v>
      </c>
      <c r="P9" s="33">
        <f t="shared" si="1"/>
        <v>9.5285409826622889</v>
      </c>
      <c r="Q9" s="49">
        <f t="shared" si="1"/>
        <v>0.79998978186473557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210.19699999999989</v>
      </c>
      <c r="P10" s="33">
        <f t="shared" si="1"/>
        <v>11.617994355163873</v>
      </c>
      <c r="Q10" s="49">
        <f t="shared" si="1"/>
        <v>0.89351535625129686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195.67399999999998</v>
      </c>
      <c r="P11" s="33">
        <f t="shared" si="1"/>
        <v>12.932722769425723</v>
      </c>
      <c r="Q11" s="49">
        <f t="shared" si="1"/>
        <v>0.9215396625025597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8" t="s">
        <v>66</v>
      </c>
      <c r="E15" s="89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</row>
    <row r="17" spans="1:13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</row>
    <row r="18" spans="1:13" ht="15.75" customHeight="1" x14ac:dyDescent="0.25">
      <c r="A18" s="17" t="s">
        <v>1</v>
      </c>
      <c r="B18" s="61" t="s">
        <v>132</v>
      </c>
      <c r="C18" s="22"/>
      <c r="F18" s="22"/>
    </row>
    <row r="19" spans="1:13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</row>
    <row r="20" spans="1:13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</row>
    <row r="21" spans="1:13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>
        <v>100</v>
      </c>
      <c r="L21" s="8"/>
      <c r="M21" s="8"/>
    </row>
    <row r="22" spans="1:13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23.17</v>
      </c>
      <c r="C22" s="63">
        <v>23.18</v>
      </c>
      <c r="D22" s="63">
        <v>23.2</v>
      </c>
      <c r="E22" s="63">
        <v>23.2</v>
      </c>
      <c r="F22" s="63">
        <v>23.22</v>
      </c>
      <c r="G22" s="63">
        <v>23.22</v>
      </c>
      <c r="H22" s="63">
        <v>23.22</v>
      </c>
      <c r="I22" s="63">
        <v>23.2</v>
      </c>
      <c r="J22" s="63">
        <v>23.17</v>
      </c>
      <c r="K22" s="63"/>
      <c r="L22" s="8"/>
      <c r="M22" s="8"/>
    </row>
    <row r="23" spans="1:13" x14ac:dyDescent="0.25">
      <c r="A23" s="3" t="s">
        <v>45</v>
      </c>
      <c r="B23" s="62">
        <v>153.19999999999999</v>
      </c>
      <c r="C23" s="62">
        <v>125.3</v>
      </c>
      <c r="D23" s="62">
        <v>114.8</v>
      </c>
      <c r="E23" s="62">
        <v>106.8</v>
      </c>
      <c r="F23" s="62">
        <v>102.5</v>
      </c>
      <c r="G23" s="62">
        <v>99.5</v>
      </c>
      <c r="H23" s="62">
        <v>94.5</v>
      </c>
      <c r="I23" s="62">
        <v>88.7</v>
      </c>
      <c r="J23" s="62">
        <v>82.4</v>
      </c>
      <c r="K23" s="62"/>
      <c r="L23" s="8"/>
      <c r="M23" s="8"/>
    </row>
    <row r="24" spans="1:13" x14ac:dyDescent="0.25">
      <c r="A24" s="3" t="s">
        <v>48</v>
      </c>
      <c r="B24" s="62">
        <v>59.35</v>
      </c>
      <c r="C24" s="62">
        <v>61.2</v>
      </c>
      <c r="D24" s="62">
        <v>59.9</v>
      </c>
      <c r="E24" s="62">
        <v>66.2</v>
      </c>
      <c r="F24" s="62">
        <v>64.900000000000006</v>
      </c>
      <c r="G24" s="62">
        <v>65.2</v>
      </c>
      <c r="H24" s="62">
        <v>72.099999999999994</v>
      </c>
      <c r="I24" s="62">
        <v>69.900000000000006</v>
      </c>
      <c r="J24" s="62">
        <v>71.900000000000006</v>
      </c>
      <c r="K24" s="62"/>
      <c r="L24" s="8"/>
      <c r="M24" s="8"/>
    </row>
    <row r="25" spans="1:13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</row>
    <row r="26" spans="1:13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</row>
    <row r="27" spans="1:13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</row>
    <row r="28" spans="1:13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3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3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3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3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K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si="4"/>
        <v/>
      </c>
    </row>
    <row r="35" spans="1:18" x14ac:dyDescent="0.25">
      <c r="A35" s="25" t="str">
        <f>"Ave. Volts "&amp; B18</f>
        <v>Ave. Volts 4/16/18</v>
      </c>
      <c r="B35" s="24">
        <f t="shared" ref="B35:K35" si="5">IF(ISERR(AVERAGE(B29:B31))=FALSE,AVERAGE(B29:B31),"")</f>
        <v>4070</v>
      </c>
      <c r="C35" s="24">
        <f t="shared" si="5"/>
        <v>4070</v>
      </c>
      <c r="D35" s="24">
        <f t="shared" si="5"/>
        <v>4070</v>
      </c>
      <c r="E35" s="24">
        <f t="shared" si="5"/>
        <v>4070</v>
      </c>
      <c r="F35" s="24">
        <f t="shared" si="5"/>
        <v>4070</v>
      </c>
      <c r="G35" s="24">
        <f t="shared" si="5"/>
        <v>4080</v>
      </c>
      <c r="H35" s="24">
        <f t="shared" si="5"/>
        <v>4080</v>
      </c>
      <c r="I35" s="24">
        <f t="shared" si="5"/>
        <v>4075</v>
      </c>
      <c r="J35" s="24">
        <f t="shared" si="5"/>
        <v>4075</v>
      </c>
      <c r="K35" s="24" t="str">
        <f t="shared" si="5"/>
        <v/>
      </c>
    </row>
    <row r="36" spans="1:18" x14ac:dyDescent="0.25">
      <c r="A36" s="3" t="s">
        <v>5</v>
      </c>
      <c r="B36" s="19">
        <f t="shared" ref="B36:K36" si="6">IF(B23="","",IF(LEFT($A$22,5)="Error","Suction Type?",IF(LEFT($A$22,5)="Reser",(B23*2.31+$B$9)-(B22+$B$10),IF(LEFT($A$22,5)="Sucti",(B23*2.31+$B$9)-((B22*2.31)+$B$11)))))</f>
        <v>359.22199999999998</v>
      </c>
      <c r="C36" s="19">
        <f t="shared" si="6"/>
        <v>294.76299999999992</v>
      </c>
      <c r="D36" s="19">
        <f t="shared" si="6"/>
        <v>270.48800000000006</v>
      </c>
      <c r="E36" s="19">
        <f t="shared" si="6"/>
        <v>252.00800000000004</v>
      </c>
      <c r="F36" s="19">
        <f t="shared" si="6"/>
        <v>242.05500000000006</v>
      </c>
      <c r="G36" s="19">
        <f t="shared" si="6"/>
        <v>235.125</v>
      </c>
      <c r="H36" s="19">
        <f t="shared" si="6"/>
        <v>223.57500000000005</v>
      </c>
      <c r="I36" s="19">
        <f t="shared" si="6"/>
        <v>210.19699999999989</v>
      </c>
      <c r="J36" s="19">
        <f t="shared" si="6"/>
        <v>195.67399999999998</v>
      </c>
      <c r="K36" s="19" t="str">
        <f t="shared" si="6"/>
        <v/>
      </c>
    </row>
    <row r="37" spans="1:18" x14ac:dyDescent="0.25">
      <c r="A37" s="3" t="s">
        <v>6</v>
      </c>
      <c r="B37" s="20">
        <f t="shared" ref="B37:K37" si="7">IF(B25="","",B25*1000000/1440)</f>
        <v>0</v>
      </c>
      <c r="C37" s="20">
        <f t="shared" si="7"/>
        <v>915.00585603747868</v>
      </c>
      <c r="D37" s="20">
        <f t="shared" si="7"/>
        <v>2630.0168321077253</v>
      </c>
      <c r="E37" s="20">
        <f t="shared" si="7"/>
        <v>3655.0233921497097</v>
      </c>
      <c r="F37" s="20">
        <f t="shared" si="7"/>
        <v>4648.0297473903829</v>
      </c>
      <c r="G37" s="20">
        <f t="shared" si="7"/>
        <v>5142.032909010617</v>
      </c>
      <c r="H37" s="20">
        <f t="shared" si="7"/>
        <v>6617.0423490710336</v>
      </c>
      <c r="I37" s="20">
        <f t="shared" si="7"/>
        <v>8068.0516355304671</v>
      </c>
      <c r="J37" s="20">
        <f t="shared" si="7"/>
        <v>8981.0574787678634</v>
      </c>
      <c r="K37" s="20" t="str">
        <f t="shared" si="7"/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8">IF(C32&lt;&gt;"",C36*C37/3960/C33,"")</f>
        <v>0.15238882238864671</v>
      </c>
      <c r="D38" s="21">
        <f t="shared" si="8"/>
        <v>0.40956448433927117</v>
      </c>
      <c r="E38" s="21">
        <f t="shared" si="8"/>
        <v>0.53398094227263726</v>
      </c>
      <c r="F38" s="21">
        <f t="shared" si="8"/>
        <v>0.6444038916128938</v>
      </c>
      <c r="G38" s="21">
        <f t="shared" si="8"/>
        <v>0.68491130200555306</v>
      </c>
      <c r="H38" s="21">
        <f t="shared" si="8"/>
        <v>0.79998978186473557</v>
      </c>
      <c r="I38" s="21">
        <f t="shared" si="8"/>
        <v>0.89351535625129686</v>
      </c>
      <c r="J38" s="21">
        <f t="shared" si="8"/>
        <v>0.9215396625025597</v>
      </c>
      <c r="K38" s="21" t="str">
        <f t="shared" si="8"/>
        <v/>
      </c>
    </row>
    <row r="40" spans="1:18" x14ac:dyDescent="0.25">
      <c r="B40" s="23"/>
    </row>
    <row r="41" spans="1:18" x14ac:dyDescent="0.25">
      <c r="B41" s="23"/>
    </row>
    <row r="43" spans="1:18" x14ac:dyDescent="0.25">
      <c r="O43" s="91" t="s">
        <v>98</v>
      </c>
      <c r="P43" s="91"/>
    </row>
    <row r="44" spans="1:18" x14ac:dyDescent="0.25">
      <c r="O44" s="90" t="s">
        <v>99</v>
      </c>
      <c r="P44" s="90"/>
    </row>
    <row r="45" spans="1:18" x14ac:dyDescent="0.25">
      <c r="O45" s="90" t="s">
        <v>100</v>
      </c>
      <c r="P45" s="90"/>
    </row>
    <row r="46" spans="1:18" x14ac:dyDescent="0.25">
      <c r="O46" s="90" t="s">
        <v>101</v>
      </c>
      <c r="P46" s="90"/>
      <c r="Q46" s="90"/>
      <c r="R46" s="90"/>
    </row>
    <row r="47" spans="1:18" x14ac:dyDescent="0.25">
      <c r="O47" s="90" t="s">
        <v>102</v>
      </c>
      <c r="P47" s="90"/>
      <c r="Q47" s="90"/>
      <c r="R47" s="90"/>
    </row>
    <row r="48" spans="1:18" x14ac:dyDescent="0.25">
      <c r="O48" s="90" t="s">
        <v>128</v>
      </c>
      <c r="P48" s="90"/>
      <c r="Q48" s="90"/>
      <c r="R48" s="90"/>
    </row>
    <row r="49" spans="15:18" x14ac:dyDescent="0.25">
      <c r="O49" s="90" t="s">
        <v>129</v>
      </c>
      <c r="P49" s="90"/>
      <c r="Q49" s="90"/>
      <c r="R49" s="90"/>
    </row>
    <row r="50" spans="15:18" x14ac:dyDescent="0.25">
      <c r="O50" s="90" t="s">
        <v>105</v>
      </c>
      <c r="P50" s="90"/>
      <c r="Q50" s="90"/>
      <c r="R50" s="90"/>
    </row>
    <row r="51" spans="15:18" x14ac:dyDescent="0.25">
      <c r="O51" s="90" t="s">
        <v>106</v>
      </c>
      <c r="P51" s="90"/>
      <c r="Q51" s="90"/>
      <c r="R51" s="90"/>
    </row>
    <row r="52" spans="15:18" x14ac:dyDescent="0.25">
      <c r="O52" s="90" t="s">
        <v>130</v>
      </c>
      <c r="P52" s="90"/>
    </row>
    <row r="53" spans="15:18" x14ac:dyDescent="0.25">
      <c r="O53" s="90" t="s">
        <v>108</v>
      </c>
      <c r="P53" s="90"/>
    </row>
  </sheetData>
  <sheetProtection selectLockedCells="1"/>
  <dataConsolidate/>
  <mergeCells count="22">
    <mergeCell ref="O52:P52"/>
    <mergeCell ref="O53:P53"/>
    <mergeCell ref="Q51:R51"/>
    <mergeCell ref="O43:P43"/>
    <mergeCell ref="O44:P44"/>
    <mergeCell ref="O45:P45"/>
    <mergeCell ref="O46:P46"/>
    <mergeCell ref="O47:P47"/>
    <mergeCell ref="O48:P48"/>
    <mergeCell ref="O49:P49"/>
    <mergeCell ref="O50:P50"/>
    <mergeCell ref="O51:P51"/>
    <mergeCell ref="Q46:R46"/>
    <mergeCell ref="Q47:R47"/>
    <mergeCell ref="Q48:R48"/>
    <mergeCell ref="Q49:R49"/>
    <mergeCell ref="Q50:R50"/>
    <mergeCell ref="G1:K1"/>
    <mergeCell ref="N1:Q1"/>
    <mergeCell ref="A3:B3"/>
    <mergeCell ref="A8:B8"/>
    <mergeCell ref="D15:E15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4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400-000001000000}"/>
  </dataValidations>
  <pageMargins left="0.47" right="0.34" top="0.28999999999999998" bottom="0.17" header="0.26" footer="0.17"/>
  <pageSetup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SBFF Pump 1</vt:lpstr>
      <vt:lpstr>SBFF Pump 2</vt:lpstr>
      <vt:lpstr>SBFF Pump 3</vt:lpstr>
      <vt:lpstr>SBDW Pump 4</vt:lpstr>
      <vt:lpstr>SBDW Pump 5</vt:lpstr>
      <vt:lpstr>localhost</vt:lpstr>
      <vt:lpstr>'SBDW Pump 4'!Print_Area</vt:lpstr>
      <vt:lpstr>'SBDW Pump 5'!Print_Area</vt:lpstr>
      <vt:lpstr>'SBFF Pump 1'!Print_Area</vt:lpstr>
      <vt:lpstr>'SBFF Pump 2'!Print_Area</vt:lpstr>
      <vt:lpstr>'SBFF Pump 3'!Print_Area</vt:lpstr>
      <vt:lpstr>serverURL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2018-06-16T22:55:20Z</dcterms:modified>
</cp:coreProperties>
</file>