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92335355-7339-4D4E-B8FD-7670C7F97E47}" xr6:coauthVersionLast="34" xr6:coauthVersionMax="34" xr10:uidLastSave="{00000000-0000-0000-0000-000000000000}"/>
  <bookViews>
    <workbookView xWindow="0" yWindow="0" windowWidth="28800" windowHeight="12372" tabRatio="926" xr2:uid="{00000000-000D-0000-FFFF-FFFF00000000}"/>
  </bookViews>
  <sheets>
    <sheet name="PAUEngineerTemplate" sheetId="36" r:id="rId1"/>
  </sheets>
  <definedNames>
    <definedName name="https___pump_assessment_utility.herokuapp.com">PAUEngineerTemplate!$N$15</definedName>
    <definedName name="localhost">PAUEngineerTemplate!$N$16</definedName>
  </definedNames>
  <calcPr calcId="179017"/>
</workbook>
</file>

<file path=xl/calcChain.xml><?xml version="1.0" encoding="utf-8"?>
<calcChain xmlns="http://schemas.openxmlformats.org/spreadsheetml/2006/main">
  <c r="E17" i="36" l="1"/>
  <c r="K37" i="36" l="1"/>
  <c r="J37" i="36"/>
  <c r="I37" i="36"/>
  <c r="H37" i="36"/>
  <c r="G37" i="36"/>
  <c r="F37" i="36"/>
  <c r="E37" i="36"/>
  <c r="D37" i="36"/>
  <c r="C37" i="36"/>
  <c r="B37" i="36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C32" i="36" s="1"/>
  <c r="C38" i="36" s="1"/>
  <c r="B35" i="36"/>
  <c r="A35" i="36"/>
  <c r="K34" i="36"/>
  <c r="J34" i="36"/>
  <c r="I34" i="36"/>
  <c r="H34" i="36"/>
  <c r="G34" i="36"/>
  <c r="F34" i="36"/>
  <c r="F32" i="36" s="1"/>
  <c r="E34" i="36"/>
  <c r="E32" i="36" s="1"/>
  <c r="E38" i="36" s="1"/>
  <c r="D34" i="36"/>
  <c r="C34" i="36"/>
  <c r="B34" i="36"/>
  <c r="A34" i="36"/>
  <c r="I32" i="36"/>
  <c r="I38" i="36" s="1"/>
  <c r="G32" i="36"/>
  <c r="G38" i="36" s="1"/>
  <c r="A22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2" i="36"/>
  <c r="K38" i="36" s="1"/>
  <c r="P13" i="36" s="1"/>
  <c r="O10" i="36"/>
  <c r="O13" i="36"/>
  <c r="B32" i="36"/>
  <c r="B38" i="36" s="1"/>
  <c r="P4" i="36" s="1"/>
  <c r="J32" i="36"/>
  <c r="J38" i="36" s="1"/>
  <c r="P12" i="36" s="1"/>
  <c r="D32" i="36"/>
  <c r="D33" i="36" s="1"/>
  <c r="H32" i="36"/>
  <c r="H33" i="36" s="1"/>
  <c r="I33" i="36"/>
  <c r="E33" i="36"/>
  <c r="F38" i="36"/>
  <c r="P8" i="36" s="1"/>
  <c r="F33" i="36"/>
  <c r="J33" i="36"/>
  <c r="D38" i="36"/>
  <c r="P6" i="36" s="1"/>
  <c r="H38" i="36"/>
  <c r="P10" i="36" s="1"/>
  <c r="O4" i="36"/>
  <c r="N5" i="36"/>
  <c r="N6" i="36"/>
  <c r="N7" i="36"/>
  <c r="N8" i="36"/>
  <c r="N9" i="36"/>
  <c r="N10" i="36"/>
  <c r="N11" i="36"/>
  <c r="N12" i="36"/>
  <c r="N13" i="36"/>
  <c r="P5" i="36"/>
  <c r="P7" i="36"/>
  <c r="P9" i="36"/>
  <c r="P11" i="36"/>
  <c r="C33" i="36"/>
  <c r="G33" i="36"/>
  <c r="B33" i="36" l="1"/>
  <c r="K33" i="36"/>
</calcChain>
</file>

<file path=xl/sharedStrings.xml><?xml version="1.0" encoding="utf-8"?>
<sst xmlns="http://schemas.openxmlformats.org/spreadsheetml/2006/main" count="79" uniqueCount="74">
  <si>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</si>
  <si>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</si>
  <si>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</si>
  <si>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</si>
  <si>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</si>
  <si>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</si>
  <si>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</si>
  <si>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</si>
  <si>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</si>
  <si>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</si>
  <si>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</si>
  <si>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</si>
  <si>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</si>
  <si>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</si>
  <si>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</si>
  <si>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</si>
  <si>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</si>
  <si>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</si>
  <si>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</si>
  <si>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</si>
  <si>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</si>
  <si>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</si>
  <si>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</si>
  <si>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</si>
  <si>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</si>
  <si>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</si>
  <si>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</si>
  <si>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</si>
  <si>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</si>
  <si>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</si>
  <si>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</si>
  <si>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</si>
  <si>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</si>
  <si>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</si>
  <si>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</si>
  <si>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</si>
  <si>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</si>
  <si>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</si>
  <si>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</si>
  <si>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</si>
  <si>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</si>
  <si>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</si>
  <si>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</si>
  <si>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</si>
  <si>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</si>
  <si>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</si>
  <si>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</si>
  <si>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</si>
  <si>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</si>
  <si>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</si>
  <si>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</si>
  <si>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</si>
  <si>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</si>
  <si>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</si>
  <si>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</si>
  <si>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</si>
  <si>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</si>
  <si>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</si>
  <si>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</si>
  <si>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</si>
  <si>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</si>
  <si>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</si>
  <si>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</si>
  <si>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</si>
  <si>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</si>
  <si>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</si>
  <si>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</si>
  <si>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</si>
  <si>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</si>
  <si>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</si>
  <si>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http://localhost:3000/InsertPumpTest</t>
  </si>
  <si>
    <t>No:</t>
  </si>
  <si>
    <t>Pump Station</t>
  </si>
  <si>
    <t>https://pump-assessment-utility.herokuapp.com/RetrievePumpData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</si>
</sst>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3" fillId="5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5" borderId="0" xfId="0" applyFill="1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PAUEngineerTemplate!$B$25:$K$25</c:f>
              <c:numCache>
                <c:formatCode>0.00</c:formatCode>
                <c:ptCount val="10"/>
              </c:numCache>
            </c:numRef>
          </c:xVal>
          <c:yVal>
            <c:numRef>
              <c:f>PAUEngineerTemplate!$B$36:$K$36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PAUEngineerTemplate!$B$38:$F$38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PAUEngineerTemplate!$A$34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PAUEngineerTemplate!$B$34:$F$34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365760</xdr:colOff>
          <xdr:row>28</xdr:row>
          <xdr:rowOff>152400</xdr:rowOff>
        </xdr:from>
        <xdr:to>
          <xdr:col>15</xdr:col>
          <xdr:colOff>121920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0</xdr:row>
          <xdr:rowOff>259080</xdr:rowOff>
        </xdr:from>
        <xdr:to>
          <xdr:col>3</xdr:col>
          <xdr:colOff>769620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3"/>
  <sheetViews>
    <sheetView tabSelected="1" zoomScale="86" zoomScaleNormal="100" workbookViewId="0">
      <selection activeCell="A15" sqref="A15"/>
    </sheetView>
  </sheetViews>
  <sheetFormatPr defaultRowHeight="14.4" x14ac:dyDescent="0.3"/>
  <cols>
    <col min="1" max="1" width="27.6640625" customWidth="1"/>
    <col min="2" max="2" width="13.5546875" customWidth="1"/>
    <col min="3" max="3" width="8.88671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8" s="64" customFormat="1" ht="21.6" thickBot="1" x14ac:dyDescent="0.45">
      <c r="A1" s="5" t="s">
        <v>72</v>
      </c>
      <c r="B1" s="71" t="s">
        <v>71</v>
      </c>
    </row>
    <row r="2" spans="1:18" ht="21" x14ac:dyDescent="0.4">
      <c r="A2" s="70"/>
      <c r="B2" s="65"/>
      <c r="C2" s="72"/>
      <c r="D2" s="4"/>
      <c r="E2" s="4"/>
      <c r="G2" s="4"/>
      <c r="H2" s="73" t="s">
        <v>11</v>
      </c>
      <c r="I2" s="74"/>
      <c r="J2" s="74"/>
      <c r="K2" s="75"/>
      <c r="M2" s="73" t="str">
        <f>B17&amp;" "&amp;B18&amp;" Transposed for Model Use"</f>
        <v>Test Pump Curve  Transposed for Model Use</v>
      </c>
      <c r="N2" s="74"/>
      <c r="O2" s="74"/>
      <c r="P2" s="75"/>
    </row>
    <row r="3" spans="1:18" ht="16.2" thickBot="1" x14ac:dyDescent="0.35">
      <c r="A3" s="6"/>
      <c r="B3" s="14"/>
      <c r="D3" s="8" t="s">
        <v>16</v>
      </c>
      <c r="E3" s="13"/>
      <c r="G3" s="4"/>
      <c r="H3" s="39" t="s">
        <v>9</v>
      </c>
      <c r="I3" s="10" t="s">
        <v>22</v>
      </c>
      <c r="J3" s="2" t="s">
        <v>10</v>
      </c>
      <c r="K3" s="40" t="s">
        <v>48</v>
      </c>
      <c r="M3" s="45" t="s">
        <v>50</v>
      </c>
      <c r="N3" s="31" t="s">
        <v>5</v>
      </c>
      <c r="O3" s="31" t="s">
        <v>3</v>
      </c>
      <c r="P3" s="46" t="s">
        <v>8</v>
      </c>
      <c r="Q3" s="58"/>
    </row>
    <row r="4" spans="1:18" ht="15.75" customHeight="1" x14ac:dyDescent="0.3">
      <c r="A4" s="76" t="s">
        <v>12</v>
      </c>
      <c r="B4" s="77"/>
      <c r="D4" s="9" t="s">
        <v>18</v>
      </c>
      <c r="E4" s="66"/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VLOOKUP(N$3,$A$19:$K$38,1+$M4,FALSE)</f>
        <v/>
      </c>
      <c r="O4" s="32">
        <f t="shared" si="1"/>
        <v>0</v>
      </c>
      <c r="P4" s="48" t="str">
        <f t="shared" si="1"/>
        <v/>
      </c>
      <c r="Q4" s="59"/>
    </row>
    <row r="5" spans="1:18" ht="15.75" customHeight="1" x14ac:dyDescent="0.3">
      <c r="A5" s="25" t="s">
        <v>13</v>
      </c>
      <c r="B5" s="29">
        <f>B6*1440/1000000</f>
        <v>0</v>
      </c>
      <c r="D5" s="9" t="s">
        <v>58</v>
      </c>
      <c r="E5" s="67"/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6.5" customHeight="1" x14ac:dyDescent="0.3">
      <c r="A6" s="25" t="s">
        <v>14</v>
      </c>
      <c r="B6" s="34"/>
      <c r="C6" s="21"/>
      <c r="D6" s="9" t="s">
        <v>20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" thickBot="1" x14ac:dyDescent="0.35">
      <c r="A7" s="26" t="s">
        <v>15</v>
      </c>
      <c r="B7" s="35"/>
      <c r="D7" s="8" t="s">
        <v>17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" thickBot="1" x14ac:dyDescent="0.35">
      <c r="D8" s="8" t="s">
        <v>19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3">
      <c r="A9" s="76" t="s">
        <v>54</v>
      </c>
      <c r="B9" s="77"/>
      <c r="D9" s="9" t="s">
        <v>21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3">
      <c r="A10" s="53" t="s">
        <v>44</v>
      </c>
      <c r="B10" s="57"/>
      <c r="D10" s="8" t="s">
        <v>38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3">
      <c r="A11" s="55" t="s">
        <v>42</v>
      </c>
      <c r="B11" s="57"/>
      <c r="C11" s="21"/>
      <c r="D11" s="8" t="s">
        <v>55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3">
      <c r="A12" s="55" t="s">
        <v>45</v>
      </c>
      <c r="B12" s="54" t="s">
        <v>47</v>
      </c>
      <c r="D12" s="8" t="s">
        <v>56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" thickBot="1" x14ac:dyDescent="0.35">
      <c r="A13" s="56" t="s">
        <v>31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3">
      <c r="C14" s="21"/>
      <c r="G14" s="21"/>
    </row>
    <row r="15" spans="1:18" x14ac:dyDescent="0.3">
      <c r="C15" s="21"/>
      <c r="D15" s="78" t="s">
        <v>57</v>
      </c>
      <c r="E15" s="79"/>
      <c r="G15" s="21"/>
      <c r="J15" s="38" t="s">
        <v>51</v>
      </c>
      <c r="K15" s="33"/>
      <c r="N15" s="69" t="s">
        <v>73</v>
      </c>
      <c r="O15" s="68"/>
      <c r="P15" s="68"/>
      <c r="Q15" s="68"/>
    </row>
    <row r="16" spans="1:18" x14ac:dyDescent="0.3">
      <c r="C16" s="21"/>
      <c r="D16" s="10" t="s">
        <v>13</v>
      </c>
      <c r="E16" s="61"/>
      <c r="G16" s="21"/>
      <c r="J16" s="38" t="s">
        <v>52</v>
      </c>
      <c r="K16" s="28"/>
      <c r="N16" s="68" t="s">
        <v>70</v>
      </c>
      <c r="O16" s="68"/>
      <c r="P16" s="68"/>
      <c r="Q16" s="68"/>
    </row>
    <row r="17" spans="1:12" ht="15.6" x14ac:dyDescent="0.3">
      <c r="A17" s="1"/>
      <c r="B17" s="27" t="s">
        <v>49</v>
      </c>
      <c r="D17" s="10" t="s">
        <v>14</v>
      </c>
      <c r="E17" s="28">
        <f>E16*1000000/1440</f>
        <v>0</v>
      </c>
      <c r="J17" s="38" t="s">
        <v>53</v>
      </c>
      <c r="K17" s="17"/>
    </row>
    <row r="18" spans="1:12" ht="15.75" customHeight="1" x14ac:dyDescent="0.3">
      <c r="A18" s="16" t="s">
        <v>1</v>
      </c>
      <c r="B18" s="60"/>
      <c r="C18" s="21"/>
      <c r="F18" s="21"/>
    </row>
    <row r="19" spans="1:12" x14ac:dyDescent="0.3">
      <c r="A19" s="2" t="s">
        <v>0</v>
      </c>
      <c r="B19" s="2" t="s">
        <v>23</v>
      </c>
      <c r="C19" s="2" t="s">
        <v>24</v>
      </c>
      <c r="D19" s="2" t="s">
        <v>25</v>
      </c>
      <c r="E19" s="2" t="s">
        <v>26</v>
      </c>
      <c r="F19" s="2" t="s">
        <v>27</v>
      </c>
      <c r="G19" s="2" t="s">
        <v>28</v>
      </c>
      <c r="H19" s="2" t="s">
        <v>29</v>
      </c>
      <c r="I19" s="2" t="s">
        <v>30</v>
      </c>
      <c r="J19" s="2" t="s">
        <v>40</v>
      </c>
      <c r="K19" s="2" t="s">
        <v>41</v>
      </c>
    </row>
    <row r="20" spans="1:12" x14ac:dyDescent="0.3">
      <c r="A20" s="3" t="s">
        <v>2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7"/>
    </row>
    <row r="21" spans="1:12" x14ac:dyDescent="0.3">
      <c r="A21" s="3" t="s">
        <v>39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7"/>
    </row>
    <row r="22" spans="1:12" x14ac:dyDescent="0.3">
      <c r="A22" s="3" t="str">
        <f>IF(AND(B12="NA",ISNUMBER(B11)),"Reservoir Level (ft):",IF(AND(B11="NA",ISNUMBER(B12)),"Suction Pressure (psi):","Error Suction Configuration"))</f>
        <v>Error Suction Configuration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7"/>
    </row>
    <row r="23" spans="1:12" x14ac:dyDescent="0.3">
      <c r="A23" s="3" t="s">
        <v>43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7"/>
    </row>
    <row r="24" spans="1:12" x14ac:dyDescent="0.3">
      <c r="A24" s="3" t="s">
        <v>46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7"/>
    </row>
    <row r="25" spans="1:12" x14ac:dyDescent="0.3">
      <c r="A25" s="3" t="s">
        <v>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</row>
    <row r="26" spans="1:12" x14ac:dyDescent="0.3">
      <c r="A26" s="3" t="s">
        <v>32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1:12" x14ac:dyDescent="0.3">
      <c r="A27" s="3" t="s">
        <v>33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2" x14ac:dyDescent="0.3">
      <c r="A28" s="3" t="s">
        <v>34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2" x14ac:dyDescent="0.3">
      <c r="A29" s="3" t="s">
        <v>35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2" x14ac:dyDescent="0.3">
      <c r="A30" s="3" t="s">
        <v>36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2" x14ac:dyDescent="0.3">
      <c r="A31" s="3" t="s">
        <v>37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1:12" x14ac:dyDescent="0.3">
      <c r="A32" s="3" t="s">
        <v>4</v>
      </c>
      <c r="B32" s="18" t="str">
        <f t="shared" ref="B32:K32" si="3">IF(ISERR((B35*B34*$E$11*1.732)/1000)=FALSE,(B35*B34*$E$11*1.732)/1000,"")</f>
        <v/>
      </c>
      <c r="C32" s="18" t="str">
        <f t="shared" si="3"/>
        <v/>
      </c>
      <c r="D32" s="18" t="str">
        <f t="shared" si="3"/>
        <v/>
      </c>
      <c r="E32" s="18" t="str">
        <f t="shared" si="3"/>
        <v/>
      </c>
      <c r="F32" s="18" t="str">
        <f t="shared" si="3"/>
        <v/>
      </c>
      <c r="G32" s="18" t="str">
        <f t="shared" si="3"/>
        <v/>
      </c>
      <c r="H32" s="18" t="str">
        <f t="shared" si="3"/>
        <v/>
      </c>
      <c r="I32" s="18" t="str">
        <f t="shared" si="3"/>
        <v/>
      </c>
      <c r="J32" s="18" t="str">
        <f t="shared" si="3"/>
        <v/>
      </c>
      <c r="K32" s="18" t="str">
        <f t="shared" si="3"/>
        <v/>
      </c>
    </row>
    <row r="33" spans="1:15" x14ac:dyDescent="0.3">
      <c r="A33" s="3" t="s">
        <v>7</v>
      </c>
      <c r="B33" s="19" t="str">
        <f>IF(B32&lt;&gt;"",1.341*B32,"")</f>
        <v/>
      </c>
      <c r="C33" s="19" t="str">
        <f t="shared" ref="C33:K33" si="4">IF(C32&lt;&gt;"",1.341*C32,"")</f>
        <v/>
      </c>
      <c r="D33" s="19" t="str">
        <f t="shared" si="4"/>
        <v/>
      </c>
      <c r="E33" s="19" t="str">
        <f t="shared" si="4"/>
        <v/>
      </c>
      <c r="F33" s="19" t="str">
        <f t="shared" si="4"/>
        <v/>
      </c>
      <c r="G33" s="19" t="str">
        <f t="shared" si="4"/>
        <v/>
      </c>
      <c r="H33" s="19" t="str">
        <f t="shared" si="4"/>
        <v/>
      </c>
      <c r="I33" s="19" t="str">
        <f t="shared" si="4"/>
        <v/>
      </c>
      <c r="J33" s="19" t="str">
        <f t="shared" si="4"/>
        <v/>
      </c>
      <c r="K33" s="19" t="str">
        <f t="shared" si="4"/>
        <v/>
      </c>
    </row>
    <row r="34" spans="1:15" x14ac:dyDescent="0.3">
      <c r="A34" s="3" t="str">
        <f>"Ave. Amps "  &amp; B18</f>
        <v xml:space="preserve">Ave. Amps </v>
      </c>
      <c r="B34" s="19" t="str">
        <f>IF(B26&lt;&gt;"",AVERAGE(B26:B28),"")</f>
        <v/>
      </c>
      <c r="C34" s="19" t="str">
        <f t="shared" ref="C34:K34" si="5">IF(C26&lt;&gt;"",AVERAGE(C26:C28),"")</f>
        <v/>
      </c>
      <c r="D34" s="19" t="str">
        <f t="shared" si="5"/>
        <v/>
      </c>
      <c r="E34" s="19" t="str">
        <f t="shared" si="5"/>
        <v/>
      </c>
      <c r="F34" s="19" t="str">
        <f t="shared" si="5"/>
        <v/>
      </c>
      <c r="G34" s="19" t="str">
        <f t="shared" si="5"/>
        <v/>
      </c>
      <c r="H34" s="19" t="str">
        <f t="shared" si="5"/>
        <v/>
      </c>
      <c r="I34" s="19" t="str">
        <f t="shared" si="5"/>
        <v/>
      </c>
      <c r="J34" s="19" t="str">
        <f t="shared" si="5"/>
        <v/>
      </c>
      <c r="K34" s="19" t="str">
        <f t="shared" si="5"/>
        <v/>
      </c>
    </row>
    <row r="35" spans="1:15" x14ac:dyDescent="0.3">
      <c r="A35" s="24" t="str">
        <f>"Ave. Volts "&amp; B18</f>
        <v xml:space="preserve">Ave. Volts </v>
      </c>
      <c r="B35" s="23" t="str">
        <f>IF(ISERR(AVERAGE(B29:B31))=FALSE,AVERAGE(B29:B31),"")</f>
        <v/>
      </c>
      <c r="C35" s="23" t="str">
        <f t="shared" ref="C35:K35" si="6">IF(ISERR(AVERAGE(C29:C31))=FALSE,AVERAGE(C29:C31),"")</f>
        <v/>
      </c>
      <c r="D35" s="23" t="str">
        <f t="shared" si="6"/>
        <v/>
      </c>
      <c r="E35" s="23" t="str">
        <f t="shared" si="6"/>
        <v/>
      </c>
      <c r="F35" s="23" t="str">
        <f t="shared" si="6"/>
        <v/>
      </c>
      <c r="G35" s="23" t="str">
        <f t="shared" si="6"/>
        <v/>
      </c>
      <c r="H35" s="23" t="str">
        <f t="shared" si="6"/>
        <v/>
      </c>
      <c r="I35" s="23" t="str">
        <f t="shared" si="6"/>
        <v/>
      </c>
      <c r="J35" s="23" t="str">
        <f t="shared" si="6"/>
        <v/>
      </c>
      <c r="K35" s="23" t="str">
        <f t="shared" si="6"/>
        <v/>
      </c>
    </row>
    <row r="36" spans="1:15" x14ac:dyDescent="0.3">
      <c r="A36" s="3" t="s">
        <v>5</v>
      </c>
      <c r="B36" s="18" t="str">
        <f t="shared" ref="B36:K36" si="7">IF(B23="","",IF(LEFT($A$22,5)="Error","Suction Type?",IF(LEFT($A$22,5)="Reser",(B23*2.31+$B$10)-(B22+$B$11),IF(LEFT($A$22,5)="Sucti",(B23*2.31+$B$10)-((B22*2.31)+$B$12)))))</f>
        <v/>
      </c>
      <c r="C36" s="18" t="str">
        <f t="shared" si="7"/>
        <v/>
      </c>
      <c r="D36" s="18" t="str">
        <f t="shared" si="7"/>
        <v/>
      </c>
      <c r="E36" s="18" t="str">
        <f t="shared" si="7"/>
        <v/>
      </c>
      <c r="F36" s="18" t="str">
        <f t="shared" si="7"/>
        <v/>
      </c>
      <c r="G36" s="18" t="str">
        <f t="shared" si="7"/>
        <v/>
      </c>
      <c r="H36" s="18" t="str">
        <f t="shared" si="7"/>
        <v/>
      </c>
      <c r="I36" s="18" t="str">
        <f t="shared" si="7"/>
        <v/>
      </c>
      <c r="J36" s="18" t="str">
        <f t="shared" si="7"/>
        <v/>
      </c>
      <c r="K36" s="18" t="str">
        <f t="shared" si="7"/>
        <v/>
      </c>
    </row>
    <row r="37" spans="1:15" x14ac:dyDescent="0.3">
      <c r="A37" s="3" t="s">
        <v>6</v>
      </c>
      <c r="B37" s="19" t="str">
        <f t="shared" ref="B37:K37" si="8">IF(B25="","",B25*1000000/1440)</f>
        <v/>
      </c>
      <c r="C37" s="19" t="str">
        <f t="shared" si="8"/>
        <v/>
      </c>
      <c r="D37" s="19" t="str">
        <f t="shared" si="8"/>
        <v/>
      </c>
      <c r="E37" s="19" t="str">
        <f t="shared" si="8"/>
        <v/>
      </c>
      <c r="F37" s="19" t="str">
        <f t="shared" si="8"/>
        <v/>
      </c>
      <c r="G37" s="19" t="str">
        <f t="shared" si="8"/>
        <v/>
      </c>
      <c r="H37" s="19" t="str">
        <f t="shared" si="8"/>
        <v/>
      </c>
      <c r="I37" s="19" t="str">
        <f t="shared" si="8"/>
        <v/>
      </c>
      <c r="J37" s="19" t="str">
        <f t="shared" si="8"/>
        <v/>
      </c>
      <c r="K37" s="19" t="str">
        <f t="shared" si="8"/>
        <v/>
      </c>
    </row>
    <row r="38" spans="1:15" x14ac:dyDescent="0.3">
      <c r="A38" s="3" t="s">
        <v>8</v>
      </c>
      <c r="B38" s="20" t="str">
        <f>IF(B32&lt;&gt;"",B36*B37/3960/B33,"")</f>
        <v/>
      </c>
      <c r="C38" s="20" t="str">
        <f t="shared" ref="C38:K38" si="9">IF(C32&lt;&gt;"",C36*C37/3960/C33,"")</f>
        <v/>
      </c>
      <c r="D38" s="20" t="str">
        <f t="shared" si="9"/>
        <v/>
      </c>
      <c r="E38" s="20" t="str">
        <f t="shared" si="9"/>
        <v/>
      </c>
      <c r="F38" s="20" t="str">
        <f t="shared" si="9"/>
        <v/>
      </c>
      <c r="G38" s="20" t="str">
        <f t="shared" si="9"/>
        <v/>
      </c>
      <c r="H38" s="20" t="str">
        <f t="shared" si="9"/>
        <v/>
      </c>
      <c r="I38" s="20" t="str">
        <f t="shared" si="9"/>
        <v/>
      </c>
      <c r="J38" s="20" t="str">
        <f t="shared" si="9"/>
        <v/>
      </c>
      <c r="K38" s="20" t="str">
        <f t="shared" si="9"/>
        <v/>
      </c>
    </row>
    <row r="40" spans="1:15" x14ac:dyDescent="0.3">
      <c r="B40" s="22"/>
    </row>
    <row r="41" spans="1:15" x14ac:dyDescent="0.3">
      <c r="B41" s="22"/>
    </row>
    <row r="43" spans="1:15" x14ac:dyDescent="0.3">
      <c r="N43" s="81" t="s">
        <v>69</v>
      </c>
      <c r="O43" s="81"/>
    </row>
    <row r="44" spans="1:15" x14ac:dyDescent="0.3">
      <c r="N44" s="80" t="s">
        <v>61</v>
      </c>
      <c r="O44" s="80"/>
    </row>
    <row r="45" spans="1:15" x14ac:dyDescent="0.3">
      <c r="N45" s="80" t="s">
        <v>59</v>
      </c>
      <c r="O45" s="80"/>
    </row>
    <row r="46" spans="1:15" x14ac:dyDescent="0.3">
      <c r="N46" s="80" t="s">
        <v>64</v>
      </c>
      <c r="O46" s="80"/>
    </row>
    <row r="47" spans="1:15" x14ac:dyDescent="0.3">
      <c r="N47" s="80" t="s">
        <v>65</v>
      </c>
      <c r="O47" s="80"/>
    </row>
    <row r="48" spans="1:15" x14ac:dyDescent="0.3">
      <c r="N48" s="80" t="s">
        <v>66</v>
      </c>
      <c r="O48" s="80"/>
    </row>
    <row r="49" spans="14:15" x14ac:dyDescent="0.3">
      <c r="N49" s="80" t="s">
        <v>67</v>
      </c>
      <c r="O49" s="80"/>
    </row>
    <row r="50" spans="14:15" x14ac:dyDescent="0.3">
      <c r="N50" s="80" t="s">
        <v>68</v>
      </c>
      <c r="O50" s="80"/>
    </row>
    <row r="51" spans="14:15" x14ac:dyDescent="0.3">
      <c r="N51" s="80" t="s">
        <v>63</v>
      </c>
      <c r="O51" s="80"/>
    </row>
    <row r="52" spans="14:15" x14ac:dyDescent="0.3">
      <c r="N52" s="80" t="s">
        <v>62</v>
      </c>
      <c r="O52" s="80"/>
    </row>
    <row r="53" spans="14:15" x14ac:dyDescent="0.3">
      <c r="N53" s="80" t="s">
        <v>60</v>
      </c>
      <c r="O53" s="80"/>
    </row>
  </sheetData>
  <sheetProtection selectLockedCells="1"/>
  <dataConsolidate/>
  <mergeCells count="16">
    <mergeCell ref="N43:O43"/>
    <mergeCell ref="N49:O49"/>
    <mergeCell ref="N50:O50"/>
    <mergeCell ref="N51:O51"/>
    <mergeCell ref="N52:O52"/>
    <mergeCell ref="N53:O53"/>
    <mergeCell ref="N44:O44"/>
    <mergeCell ref="N45:O45"/>
    <mergeCell ref="N46:O46"/>
    <mergeCell ref="N47:O47"/>
    <mergeCell ref="N48:O48"/>
    <mergeCell ref="H2:K2"/>
    <mergeCell ref="M2:P2"/>
    <mergeCell ref="A4:B4"/>
    <mergeCell ref="A9:B9"/>
    <mergeCell ref="D15:E15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</hyperlinks>
  <pageMargins left="0.47" right="0.34" top="0.28999999999999998" bottom="0.17" header="0.26" footer="0.17"/>
  <pageSetup scale="4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trievePumpData">
                <anchor moveWithCells="1">
                  <from>
                    <xdr:col>14</xdr:col>
                    <xdr:colOff>365760</xdr:colOff>
                    <xdr:row>28</xdr:row>
                    <xdr:rowOff>152400</xdr:rowOff>
                  </from>
                  <to>
                    <xdr:col>15</xdr:col>
                    <xdr:colOff>121920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in">
                <anchor moveWithCells="1" sizeWithCells="1">
                  <from>
                    <xdr:col>2</xdr:col>
                    <xdr:colOff>182880</xdr:colOff>
                    <xdr:row>0</xdr:row>
                    <xdr:rowOff>259080</xdr:rowOff>
                  </from>
                  <to>
                    <xdr:col>3</xdr:col>
                    <xdr:colOff>769620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PAUEngineerTemplate</vt:lpstr>
      <vt:lpstr>https___pump_assessment_utility.herokuapp.com</vt:lpstr>
      <vt:lpstr>localhost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2018-07-14T19:40:04Z</dcterms:modified>
</cp:coreProperties>
</file>