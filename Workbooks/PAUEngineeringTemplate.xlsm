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est\Documents\gitRepos\waterUtility\Workbooks\"/>
    </mc:Choice>
  </mc:AlternateContent>
  <xr:revisionPtr revIDLastSave="0" documentId="13_ncr:1_{A8710278-0A51-4FA8-9436-80B154A7035B}" xr6:coauthVersionLast="34" xr6:coauthVersionMax="34" xr10:uidLastSave="{00000000-0000-0000-0000-000000000000}"/>
  <bookViews>
    <workbookView xWindow="0" yWindow="0" windowWidth="28800" windowHeight="12375" tabRatio="926" xr2:uid="{00000000-000D-0000-FFFF-FFFF00000000}"/>
  </bookViews>
  <sheets>
    <sheet name="PAUEngineerTemplate" sheetId="36" r:id="rId1"/>
    <sheet name="Data" sheetId="37" r:id="rId2"/>
  </sheets>
  <functionGroups builtInGroupCount="19"/>
  <definedNames>
    <definedName name="localhost">PAUEngineerTemplate!$N$16</definedName>
    <definedName name="pumpModel">PAUEngineerTemplate!$E$4</definedName>
    <definedName name="pumpNumber">PAUEngineerTemplate!$B$2</definedName>
    <definedName name="pumpSerial">PAUEngineerTemplate!$E$5</definedName>
    <definedName name="pumpStation">PAUEngineerTemplate!$A$2</definedName>
    <definedName name="remoteURL">PAUEngineerTemplate!$N$15</definedName>
    <definedName name="testDate">PAUEngineerTemplate!$B$19</definedName>
  </definedNames>
  <calcPr calcId="179017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37" i="36" l="1"/>
  <c r="B35" i="36" l="1"/>
  <c r="C35" i="36"/>
  <c r="B36" i="36"/>
  <c r="C36" i="36"/>
  <c r="B38" i="36"/>
  <c r="C38" i="36"/>
  <c r="C33" i="36" l="1"/>
  <c r="B33" i="36"/>
  <c r="B34" i="36" s="1"/>
  <c r="C34" i="36" l="1"/>
  <c r="C39" i="36"/>
  <c r="E16" i="36"/>
  <c r="K38" i="36" l="1"/>
  <c r="J38" i="36"/>
  <c r="I38" i="36"/>
  <c r="H38" i="36"/>
  <c r="G38" i="36"/>
  <c r="F38" i="36"/>
  <c r="E38" i="36"/>
  <c r="D38" i="36"/>
  <c r="K37" i="36"/>
  <c r="J37" i="36"/>
  <c r="I37" i="36"/>
  <c r="H37" i="36"/>
  <c r="G37" i="36"/>
  <c r="F37" i="36"/>
  <c r="E37" i="36"/>
  <c r="D37" i="36"/>
  <c r="K36" i="36"/>
  <c r="J36" i="36"/>
  <c r="I36" i="36"/>
  <c r="H36" i="36"/>
  <c r="G36" i="36"/>
  <c r="F36" i="36"/>
  <c r="E36" i="36"/>
  <c r="D36" i="36"/>
  <c r="A36" i="36"/>
  <c r="K35" i="36"/>
  <c r="J35" i="36"/>
  <c r="I35" i="36"/>
  <c r="H35" i="36"/>
  <c r="G35" i="36"/>
  <c r="F35" i="36"/>
  <c r="E35" i="36"/>
  <c r="D35" i="36"/>
  <c r="A35" i="36"/>
  <c r="A23" i="36"/>
  <c r="I13" i="36"/>
  <c r="I12" i="36"/>
  <c r="I11" i="36"/>
  <c r="I10" i="36"/>
  <c r="I9" i="36"/>
  <c r="I8" i="36"/>
  <c r="I7" i="36"/>
  <c r="I6" i="36"/>
  <c r="I5" i="36"/>
  <c r="B5" i="36"/>
  <c r="I4" i="36"/>
  <c r="M2" i="36"/>
  <c r="O12" i="36" l="1"/>
  <c r="B37" i="36"/>
  <c r="B39" i="36" s="1"/>
  <c r="I33" i="36"/>
  <c r="I34" i="36" s="1"/>
  <c r="G33" i="36"/>
  <c r="G34" i="36" s="1"/>
  <c r="F33" i="36"/>
  <c r="E33" i="36"/>
  <c r="E34" i="36" s="1"/>
  <c r="O9" i="36"/>
  <c r="O5" i="36"/>
  <c r="O11" i="36"/>
  <c r="O6" i="36"/>
  <c r="O7" i="36"/>
  <c r="O8" i="36"/>
  <c r="K33" i="36"/>
  <c r="O10" i="36"/>
  <c r="O13" i="36"/>
  <c r="J33" i="36"/>
  <c r="J34" i="36" s="1"/>
  <c r="D33" i="36"/>
  <c r="D34" i="36" s="1"/>
  <c r="H33" i="36"/>
  <c r="H34" i="36" s="1"/>
  <c r="O4" i="36"/>
  <c r="N5" i="36"/>
  <c r="N6" i="36"/>
  <c r="N7" i="36"/>
  <c r="N8" i="36"/>
  <c r="N9" i="36"/>
  <c r="N10" i="36"/>
  <c r="N11" i="36"/>
  <c r="N12" i="36"/>
  <c r="N13" i="36"/>
  <c r="N4" i="36" l="1"/>
  <c r="H39" i="36"/>
  <c r="P10" i="36" s="1"/>
  <c r="F34" i="36"/>
  <c r="F39" i="36" s="1"/>
  <c r="P8" i="36" s="1"/>
  <c r="J39" i="36"/>
  <c r="P12" i="36" s="1"/>
  <c r="I39" i="36"/>
  <c r="P11" i="36" s="1"/>
  <c r="G39" i="36"/>
  <c r="P9" i="36" s="1"/>
  <c r="E39" i="36"/>
  <c r="P7" i="36" s="1"/>
  <c r="D39" i="36"/>
  <c r="P6" i="36" s="1"/>
  <c r="P5" i="36"/>
  <c r="P4" i="36"/>
  <c r="K34" i="36"/>
  <c r="K39" i="36" s="1"/>
  <c r="P13" i="36" s="1"/>
</calcChain>
</file>

<file path=xl/sharedStrings.xml><?xml version="1.0" encoding="utf-8"?>
<sst xmlns="http://schemas.openxmlformats.org/spreadsheetml/2006/main" count="66" uniqueCount="57">
  <si>
    <t>Time:</t>
  </si>
  <si>
    <t>Discharge Flow (mgd):</t>
  </si>
  <si>
    <t>KW Input to Motor:</t>
  </si>
  <si>
    <t>Total Head (ft):</t>
  </si>
  <si>
    <t>Discharge Flow (gpm):</t>
  </si>
  <si>
    <t>HP Input to Motor:</t>
  </si>
  <si>
    <t>Overall Pump Efficiency:</t>
  </si>
  <si>
    <t>TDH (ft)</t>
  </si>
  <si>
    <t>Flow (gpm)</t>
  </si>
  <si>
    <t>Manufacturer Pump Curve</t>
  </si>
  <si>
    <t>Design Point</t>
  </si>
  <si>
    <t>MGD</t>
  </si>
  <si>
    <t>GPM</t>
  </si>
  <si>
    <t>TDH (FT)</t>
  </si>
  <si>
    <t>Pump Mfr:</t>
  </si>
  <si>
    <t>Motor HP:</t>
  </si>
  <si>
    <t>Pump Model:</t>
  </si>
  <si>
    <t>Motor Voltage:</t>
  </si>
  <si>
    <t>Pump Installed:</t>
  </si>
  <si>
    <t>Motor Installed:</t>
  </si>
  <si>
    <t>Flow (mgd)</t>
  </si>
  <si>
    <t>Service Zone:</t>
  </si>
  <si>
    <t>Amps 1:</t>
  </si>
  <si>
    <t>Amps 2:</t>
  </si>
  <si>
    <t>Amps 3:</t>
  </si>
  <si>
    <t>Volts 1:</t>
  </si>
  <si>
    <t>Volts 2:</t>
  </si>
  <si>
    <t>Volts 3:</t>
  </si>
  <si>
    <t>RPM:</t>
  </si>
  <si>
    <t>Pump Speed (%)</t>
  </si>
  <si>
    <t>Reservoir Floor Elev (ft):</t>
  </si>
  <si>
    <t>Disch Press @ Pmp Flg. (psi):</t>
  </si>
  <si>
    <t>Pump Disch Hdr CL Elev (ft):</t>
  </si>
  <si>
    <t>Suction Header CL Elev (ft):</t>
  </si>
  <si>
    <t>Disch Press @ Header (psi):</t>
  </si>
  <si>
    <t>NA</t>
  </si>
  <si>
    <t>Bowl Eff (%)</t>
  </si>
  <si>
    <t>Test Pump Curve</t>
  </si>
  <si>
    <t>Test Pt</t>
  </si>
  <si>
    <t>General Info =</t>
  </si>
  <si>
    <t>Calculated =</t>
  </si>
  <si>
    <t>Manual Input from Pump Test =</t>
  </si>
  <si>
    <t xml:space="preserve">Elevation Information </t>
  </si>
  <si>
    <t>Power Factor:</t>
  </si>
  <si>
    <t>Motor Efficiency:</t>
  </si>
  <si>
    <t>Flow Conversion Calculator</t>
  </si>
  <si>
    <t>Serial Number:</t>
  </si>
  <si>
    <t>No:</t>
  </si>
  <si>
    <t>Pump Station</t>
  </si>
  <si>
    <t>Prameter</t>
  </si>
  <si>
    <t>Test Date</t>
  </si>
  <si>
    <t>testDates</t>
  </si>
  <si>
    <t>Parameter                 testNo</t>
  </si>
  <si>
    <t>DW18</t>
  </si>
  <si>
    <t>J11HC</t>
  </si>
  <si>
    <t>123456</t>
  </si>
  <si>
    <t>2013-07-25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</si>
</sst>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#,##0.0"/>
    <numFmt numFmtId="166" formatCode="yyyymmdd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8000"/>
      <name val="Calibri"/>
      <family val="2"/>
    </font>
    <font>
      <sz val="11"/>
      <color rgb="FF339966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96">
    <xf numFmtId="0" fontId="0" fillId="0" borderId="0" xfId="0"/>
    <xf numFmtId="0" fontId="2" fillId="0" borderId="0" xfId="0" applyFont="1" applyAlignment="1">
      <alignment horizontal="left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0" fillId="0" borderId="0" xfId="0" applyBorder="1"/>
    <xf numFmtId="0" fontId="1" fillId="0" borderId="0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/>
    <xf numFmtId="49" fontId="1" fillId="0" borderId="2" xfId="0" applyNumberFormat="1" applyFont="1" applyBorder="1" applyAlignment="1">
      <alignment horizontal="right"/>
    </xf>
    <xf numFmtId="0" fontId="0" fillId="3" borderId="1" xfId="0" applyFill="1" applyBorder="1" applyAlignment="1">
      <alignment horizontal="center"/>
    </xf>
    <xf numFmtId="164" fontId="7" fillId="4" borderId="1" xfId="0" applyNumberFormat="1" applyFont="1" applyFill="1" applyBorder="1" applyAlignment="1">
      <alignment horizontal="center"/>
    </xf>
    <xf numFmtId="3" fontId="7" fillId="4" borderId="1" xfId="0" applyNumberFormat="1" applyFont="1" applyFill="1" applyBorder="1" applyAlignment="1">
      <alignment horizontal="center"/>
    </xf>
    <xf numFmtId="9" fontId="7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7" fillId="0" borderId="0" xfId="0" applyNumberFormat="1" applyFont="1" applyFill="1" applyBorder="1" applyAlignment="1">
      <alignment horizontal="center"/>
    </xf>
    <xf numFmtId="1" fontId="7" fillId="4" borderId="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right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2" fontId="5" fillId="4" borderId="4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2" fontId="0" fillId="0" borderId="1" xfId="0" applyNumberFormat="1" applyBorder="1" applyAlignment="1">
      <alignment horizontal="center"/>
    </xf>
    <xf numFmtId="0" fontId="0" fillId="2" borderId="1" xfId="0" applyFill="1" applyBorder="1"/>
    <xf numFmtId="3" fontId="1" fillId="2" borderId="4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6" fillId="0" borderId="0" xfId="0" quotePrefix="1" applyFont="1" applyAlignment="1">
      <alignment horizontal="right"/>
    </xf>
    <xf numFmtId="0" fontId="1" fillId="0" borderId="3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9" fontId="0" fillId="2" borderId="4" xfId="2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9" fontId="0" fillId="2" borderId="7" xfId="2" applyFont="1" applyFill="1" applyBorder="1" applyAlignment="1">
      <alignment horizontal="center"/>
    </xf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1" fontId="0" fillId="0" borderId="3" xfId="0" applyNumberFormat="1" applyBorder="1" applyAlignment="1">
      <alignment horizontal="center"/>
    </xf>
    <xf numFmtId="9" fontId="0" fillId="0" borderId="4" xfId="2" applyFon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9" fontId="0" fillId="0" borderId="7" xfId="2" applyFont="1" applyBorder="1" applyAlignment="1">
      <alignment horizontal="center"/>
    </xf>
    <xf numFmtId="0" fontId="1" fillId="0" borderId="3" xfId="0" applyFont="1" applyBorder="1" applyAlignment="1">
      <alignment horizontal="left" vertical="center"/>
    </xf>
    <xf numFmtId="0" fontId="1" fillId="2" borderId="4" xfId="0" applyFont="1" applyFill="1" applyBorder="1" applyAlignment="1">
      <alignment horizontal="center"/>
    </xf>
    <xf numFmtId="0" fontId="1" fillId="0" borderId="3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2" fontId="1" fillId="2" borderId="4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9" fontId="0" fillId="0" borderId="0" xfId="2" applyFont="1"/>
    <xf numFmtId="49" fontId="0" fillId="3" borderId="1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quotePrefix="1" applyFill="1" applyBorder="1" applyAlignment="1" applyProtection="1">
      <alignment horizontal="center"/>
      <protection locked="0"/>
    </xf>
    <xf numFmtId="2" fontId="0" fillId="3" borderId="1" xfId="0" applyNumberFormat="1" applyFill="1" applyBorder="1" applyAlignment="1" applyProtection="1">
      <alignment horizontal="center"/>
      <protection locked="0"/>
    </xf>
    <xf numFmtId="0" fontId="0" fillId="0" borderId="0" xfId="0"/>
    <xf numFmtId="0" fontId="1" fillId="5" borderId="1" xfId="0" applyFont="1" applyFill="1" applyBorder="1" applyAlignment="1">
      <alignment horizontal="center"/>
    </xf>
    <xf numFmtId="49" fontId="1" fillId="5" borderId="1" xfId="0" applyNumberFormat="1" applyFont="1" applyFill="1" applyBorder="1" applyAlignment="1">
      <alignment horizontal="center"/>
    </xf>
    <xf numFmtId="0" fontId="0" fillId="0" borderId="0" xfId="0" applyAlignment="1"/>
    <xf numFmtId="0" fontId="10" fillId="0" borderId="0" xfId="3" applyAlignment="1"/>
    <xf numFmtId="0" fontId="0" fillId="0" borderId="0" xfId="0"/>
    <xf numFmtId="0" fontId="3" fillId="0" borderId="0" xfId="0" applyFont="1"/>
    <xf numFmtId="0" fontId="3" fillId="0" borderId="0" xfId="0" applyFont="1" applyFill="1" applyBorder="1" applyAlignment="1" applyProtection="1">
      <alignment horizontal="center"/>
    </xf>
    <xf numFmtId="0" fontId="0" fillId="0" borderId="0" xfId="0" applyAlignment="1">
      <alignment wrapText="1"/>
    </xf>
    <xf numFmtId="0" fontId="1" fillId="0" borderId="0" xfId="0" applyFont="1" applyFill="1" applyBorder="1" applyAlignment="1">
      <alignment vertical="center"/>
    </xf>
    <xf numFmtId="0" fontId="3" fillId="5" borderId="1" xfId="0" applyFont="1" applyFill="1" applyBorder="1" applyAlignment="1">
      <alignment horizontal="center"/>
    </xf>
    <xf numFmtId="0" fontId="3" fillId="5" borderId="1" xfId="0" applyFont="1" applyFill="1" applyBorder="1"/>
    <xf numFmtId="0" fontId="0" fillId="0" borderId="0" xfId="0"/>
    <xf numFmtId="0" fontId="0" fillId="3" borderId="1" xfId="0" applyFill="1" applyBorder="1"/>
    <xf numFmtId="0" fontId="0" fillId="0" borderId="0" xfId="0" applyFill="1"/>
    <xf numFmtId="0" fontId="0" fillId="0" borderId="1" xfId="0" applyFill="1" applyBorder="1"/>
    <xf numFmtId="166" fontId="0" fillId="0" borderId="0" xfId="0" applyNumberFormat="1" applyFill="1" applyBorder="1" applyAlignment="1" applyProtection="1">
      <alignment horizontal="center"/>
      <protection locked="0"/>
    </xf>
    <xf numFmtId="1" fontId="1" fillId="0" borderId="0" xfId="0" applyNumberFormat="1" applyFont="1" applyFill="1" applyBorder="1" applyAlignment="1">
      <alignment horizontal="center"/>
    </xf>
    <xf numFmtId="1" fontId="0" fillId="0" borderId="0" xfId="0" applyNumberFormat="1" applyFill="1" applyBorder="1"/>
    <xf numFmtId="14" fontId="1" fillId="0" borderId="0" xfId="0" applyNumberFormat="1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14" fontId="0" fillId="5" borderId="16" xfId="0" applyNumberFormat="1" applyFill="1" applyBorder="1" applyAlignment="1" applyProtection="1">
      <alignment horizontal="center"/>
      <protection locked="0"/>
    </xf>
    <xf numFmtId="0" fontId="1" fillId="0" borderId="1" xfId="0" applyFont="1" applyFill="1" applyBorder="1" applyAlignment="1">
      <alignment horizontal="right"/>
    </xf>
    <xf numFmtId="0" fontId="1" fillId="0" borderId="16" xfId="0" applyFont="1" applyFill="1" applyBorder="1" applyAlignment="1">
      <alignment horizontal="center"/>
    </xf>
    <xf numFmtId="49" fontId="0" fillId="3" borderId="15" xfId="0" applyNumberFormat="1" applyFill="1" applyBorder="1" applyAlignment="1" applyProtection="1">
      <alignment horizontal="center"/>
      <protection locked="0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1" fillId="0" borderId="13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</cellXfs>
  <cellStyles count="4">
    <cellStyle name="Hyperlink" xfId="3" builtinId="8"/>
    <cellStyle name="Normal" xfId="0" builtinId="0"/>
    <cellStyle name="Normal 2" xfId="1" xr:uid="{00000000-0005-0000-0000-000001000000}"/>
    <cellStyle name="Percent" xfId="2" builtinId="5"/>
  </cellStyles>
  <dxfs count="0"/>
  <tableStyles count="0" defaultTableStyle="TableStyleMedium9" defaultPivotStyle="PivotStyleLight16"/>
  <colors>
    <mruColors>
      <color rgb="FFFFFFCC"/>
      <color rgb="FFCC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PAUEngineerTemplate!$H$2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PAUEngineerTemplate!$H$4:$H$13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62-4B86-A6BC-34498E7255CE}"/>
            </c:ext>
          </c:extLst>
        </c:ser>
        <c:ser>
          <c:idx val="2"/>
          <c:order val="1"/>
          <c:tx>
            <c:strRef>
              <c:f>PAUEngineerTemplate!$B$17:$B$18</c:f>
              <c:strCache>
                <c:ptCount val="2"/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PAUEngineerTemplate!$B$26:$K$26</c:f>
              <c:numCache>
                <c:formatCode>0.00</c:formatCode>
                <c:ptCount val="10"/>
                <c:pt idx="0">
                  <c:v>960</c:v>
                </c:pt>
                <c:pt idx="1">
                  <c:v>926</c:v>
                </c:pt>
                <c:pt idx="2">
                  <c:v>875</c:v>
                </c:pt>
                <c:pt idx="3">
                  <c:v>818</c:v>
                </c:pt>
                <c:pt idx="4">
                  <c:v>750</c:v>
                </c:pt>
              </c:numCache>
            </c:numRef>
          </c:xVal>
          <c:yVal>
            <c:numRef>
              <c:f>PAUEngineerTemplate!$B$37:$K$37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62-4B86-A6BC-34498E7255CE}"/>
            </c:ext>
          </c:extLst>
        </c:ser>
        <c:ser>
          <c:idx val="5"/>
          <c:order val="2"/>
          <c:tx>
            <c:strRef>
              <c:f>PAUEngineerTemplate!$A$4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PAUEngineerTemplate!$B$5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PAUEngineerTemplate!$B$7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62-4B86-A6BC-34498E725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24776"/>
        <c:axId val="539918504"/>
      </c:scatterChart>
      <c:scatterChart>
        <c:scatterStyle val="smoothMarker"/>
        <c:varyColors val="0"/>
        <c:ser>
          <c:idx val="3"/>
          <c:order val="3"/>
          <c:tx>
            <c:strRef>
              <c:f>PAUEngineerTemplate!$K$3</c:f>
              <c:strCache>
                <c:ptCount val="1"/>
                <c:pt idx="0">
                  <c:v>Bowl Eff (%)</c:v>
                </c:pt>
              </c:strCache>
            </c:strRef>
          </c:tx>
          <c:spPr>
            <a:ln w="254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PAUEngineerTemplate!$K$4:$K$13</c:f>
              <c:numCache>
                <c:formatCode>0%</c:formatCode>
                <c:ptCount val="10"/>
                <c:pt idx="0">
                  <c:v>0</c:v>
                </c:pt>
                <c:pt idx="1">
                  <c:v>0.41870000000000002</c:v>
                </c:pt>
                <c:pt idx="2">
                  <c:v>0.57489999999999997</c:v>
                </c:pt>
                <c:pt idx="3">
                  <c:v>0.68489999999999995</c:v>
                </c:pt>
                <c:pt idx="4">
                  <c:v>0.72370000000000001</c:v>
                </c:pt>
                <c:pt idx="5">
                  <c:v>0.77070000000000005</c:v>
                </c:pt>
                <c:pt idx="6">
                  <c:v>0.81710000000000005</c:v>
                </c:pt>
                <c:pt idx="7">
                  <c:v>0.83589999999999998</c:v>
                </c:pt>
                <c:pt idx="8">
                  <c:v>0.79490000000000005</c:v>
                </c:pt>
                <c:pt idx="9">
                  <c:v>0.61519999999999997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62-4B86-A6BC-34498E7255CE}"/>
            </c:ext>
          </c:extLst>
        </c:ser>
        <c:ser>
          <c:idx val="4"/>
          <c:order val="4"/>
          <c:tx>
            <c:strRef>
              <c:f>PAUEngineerTemplate!$A$39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PAUEngineerTemplate!$B$26:$F$26</c:f>
              <c:numCache>
                <c:formatCode>0.00</c:formatCode>
                <c:ptCount val="5"/>
                <c:pt idx="0">
                  <c:v>960</c:v>
                </c:pt>
                <c:pt idx="1">
                  <c:v>926</c:v>
                </c:pt>
                <c:pt idx="2">
                  <c:v>875</c:v>
                </c:pt>
                <c:pt idx="3">
                  <c:v>818</c:v>
                </c:pt>
                <c:pt idx="4">
                  <c:v>750</c:v>
                </c:pt>
              </c:numCache>
            </c:numRef>
          </c:xVal>
          <c:yVal>
            <c:numRef>
              <c:f>PAUEngineerTemplate!$B$39:$F$39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62-4B86-A6BC-34498E725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18896"/>
        <c:axId val="539925168"/>
      </c:scatterChart>
      <c:valAx>
        <c:axId val="539924776"/>
        <c:scaling>
          <c:orientation val="minMax"/>
          <c:max val="16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18504"/>
        <c:crosses val="autoZero"/>
        <c:crossBetween val="midCat"/>
        <c:majorUnit val="1"/>
        <c:minorUnit val="0.1"/>
      </c:valAx>
      <c:valAx>
        <c:axId val="53991850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24776"/>
        <c:crosses val="autoZero"/>
        <c:crossBetween val="midCat"/>
        <c:majorUnit val="40"/>
      </c:valAx>
      <c:valAx>
        <c:axId val="539925168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539918896"/>
        <c:crosses val="max"/>
        <c:crossBetween val="midCat"/>
      </c:valAx>
      <c:valAx>
        <c:axId val="53991889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2516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983331199453727"/>
          <c:y val="0.26987048244012179"/>
          <c:w val="0.13918091031304014"/>
          <c:h val="0.5760057626808123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PAUEngineerTemplate!$H$2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PAUEngineerTemplate!$H$4:$H$13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54-4C7D-B32E-AF017A6D610C}"/>
            </c:ext>
          </c:extLst>
        </c:ser>
        <c:ser>
          <c:idx val="2"/>
          <c:order val="1"/>
          <c:tx>
            <c:strRef>
              <c:f>PAUEngineerTemplate!$B$17:$B$18</c:f>
              <c:strCache>
                <c:ptCount val="2"/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PAUEngineerTemplate!$B$26:$F$26</c:f>
              <c:numCache>
                <c:formatCode>0.00</c:formatCode>
                <c:ptCount val="5"/>
                <c:pt idx="0">
                  <c:v>960</c:v>
                </c:pt>
                <c:pt idx="1">
                  <c:v>926</c:v>
                </c:pt>
                <c:pt idx="2">
                  <c:v>875</c:v>
                </c:pt>
                <c:pt idx="3">
                  <c:v>818</c:v>
                </c:pt>
                <c:pt idx="4">
                  <c:v>750</c:v>
                </c:pt>
              </c:numCache>
            </c:numRef>
          </c:xVal>
          <c:yVal>
            <c:numRef>
              <c:f>PAUEngineerTemplate!$B$37:$F$37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54-4C7D-B32E-AF017A6D610C}"/>
            </c:ext>
          </c:extLst>
        </c:ser>
        <c:ser>
          <c:idx val="5"/>
          <c:order val="2"/>
          <c:tx>
            <c:strRef>
              <c:f>PAUEngineerTemplate!$A$4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PAUEngineerTemplate!$B$5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PAUEngineerTemplate!$B$7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54-4C7D-B32E-AF017A6D6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0656"/>
        <c:axId val="539931832"/>
      </c:scatterChart>
      <c:scatterChart>
        <c:scatterStyle val="smoothMarker"/>
        <c:varyColors val="0"/>
        <c:ser>
          <c:idx val="4"/>
          <c:order val="3"/>
          <c:tx>
            <c:strRef>
              <c:f>PAUEngineerTemplate!$A$36</c:f>
              <c:strCache>
                <c:ptCount val="1"/>
                <c:pt idx="0">
                  <c:v>Ave. Volts </c:v>
                </c:pt>
              </c:strCache>
            </c:strRef>
          </c:tx>
          <c:spPr>
            <a:ln>
              <a:prstDash val="sysDash"/>
            </a:ln>
          </c:spPr>
          <c:marker>
            <c:symbol val="triangle"/>
            <c:size val="6"/>
          </c:marker>
          <c:xVal>
            <c:numRef>
              <c:f>PAUEngineerTemplate!$B$26:$F$26</c:f>
              <c:numCache>
                <c:formatCode>0.00</c:formatCode>
                <c:ptCount val="5"/>
                <c:pt idx="0">
                  <c:v>960</c:v>
                </c:pt>
                <c:pt idx="1">
                  <c:v>926</c:v>
                </c:pt>
                <c:pt idx="2">
                  <c:v>875</c:v>
                </c:pt>
                <c:pt idx="3">
                  <c:v>818</c:v>
                </c:pt>
                <c:pt idx="4">
                  <c:v>750</c:v>
                </c:pt>
              </c:numCache>
            </c:numRef>
          </c:xVal>
          <c:yVal>
            <c:numRef>
              <c:f>PAUEngineerTemplate!$B$36:$F$36</c:f>
              <c:numCache>
                <c:formatCode>0</c:formatCode>
                <c:ptCount val="5"/>
                <c:pt idx="0">
                  <c:v>484</c:v>
                </c:pt>
                <c:pt idx="1">
                  <c:v>483.66666666666669</c:v>
                </c:pt>
                <c:pt idx="2">
                  <c:v>484</c:v>
                </c:pt>
                <c:pt idx="3">
                  <c:v>482</c:v>
                </c:pt>
                <c:pt idx="4">
                  <c:v>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54-4C7D-B32E-AF017A6D6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3008"/>
        <c:axId val="539931048"/>
      </c:scatterChart>
      <c:valAx>
        <c:axId val="539930656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31832"/>
        <c:crosses val="autoZero"/>
        <c:crossBetween val="midCat"/>
        <c:majorUnit val="0.5"/>
        <c:minorUnit val="0.1"/>
      </c:valAx>
      <c:valAx>
        <c:axId val="539931832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30656"/>
        <c:crosses val="autoZero"/>
        <c:crossBetween val="midCat"/>
        <c:majorUnit val="40"/>
      </c:valAx>
      <c:valAx>
        <c:axId val="53993104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539933008"/>
        <c:crosses val="max"/>
        <c:crossBetween val="midCat"/>
      </c:valAx>
      <c:valAx>
        <c:axId val="539933008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3104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900129719809866"/>
          <c:y val="0.25098473555790579"/>
          <c:w val="0.13098552121978541"/>
          <c:h val="0.59080118394301084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868661603634946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PAUEngineerTemplate!$H$2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PAUEngineerTemplate!$H$4:$H$13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E5-4242-AEE2-1535FA54CDFE}"/>
            </c:ext>
          </c:extLst>
        </c:ser>
        <c:ser>
          <c:idx val="2"/>
          <c:order val="1"/>
          <c:tx>
            <c:strRef>
              <c:f>PAUEngineerTemplate!$B$17:$B$18</c:f>
              <c:strCache>
                <c:ptCount val="2"/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PAUEngineerTemplate!$B$26:$F$26</c:f>
              <c:numCache>
                <c:formatCode>0.00</c:formatCode>
                <c:ptCount val="5"/>
                <c:pt idx="0">
                  <c:v>960</c:v>
                </c:pt>
                <c:pt idx="1">
                  <c:v>926</c:v>
                </c:pt>
                <c:pt idx="2">
                  <c:v>875</c:v>
                </c:pt>
                <c:pt idx="3">
                  <c:v>818</c:v>
                </c:pt>
                <c:pt idx="4">
                  <c:v>750</c:v>
                </c:pt>
              </c:numCache>
            </c:numRef>
          </c:xVal>
          <c:yVal>
            <c:numRef>
              <c:f>PAUEngineerTemplate!$B$37:$F$37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E5-4242-AEE2-1535FA54CDFE}"/>
            </c:ext>
          </c:extLst>
        </c:ser>
        <c:ser>
          <c:idx val="5"/>
          <c:order val="2"/>
          <c:tx>
            <c:strRef>
              <c:f>PAUEngineerTemplate!$A$4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PAUEngineerTemplate!$B$5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PAUEngineerTemplate!$B$7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E5-4242-AEE2-1535FA54C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3400"/>
        <c:axId val="539930264"/>
      </c:scatterChart>
      <c:scatterChart>
        <c:scatterStyle val="smoothMarker"/>
        <c:varyColors val="0"/>
        <c:ser>
          <c:idx val="4"/>
          <c:order val="3"/>
          <c:tx>
            <c:strRef>
              <c:f>PAUEngineerTemplate!$A$35</c:f>
              <c:strCache>
                <c:ptCount val="1"/>
                <c:pt idx="0">
                  <c:v>Ave. Amps </c:v>
                </c:pt>
              </c:strCache>
            </c:strRef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PAUEngineerTemplate!$B$26:$F$26</c:f>
              <c:numCache>
                <c:formatCode>0.00</c:formatCode>
                <c:ptCount val="5"/>
                <c:pt idx="0">
                  <c:v>960</c:v>
                </c:pt>
                <c:pt idx="1">
                  <c:v>926</c:v>
                </c:pt>
                <c:pt idx="2">
                  <c:v>875</c:v>
                </c:pt>
                <c:pt idx="3">
                  <c:v>818</c:v>
                </c:pt>
                <c:pt idx="4">
                  <c:v>750</c:v>
                </c:pt>
              </c:numCache>
            </c:numRef>
          </c:xVal>
          <c:yVal>
            <c:numRef>
              <c:f>PAUEngineerTemplate!$B$35:$F$35</c:f>
              <c:numCache>
                <c:formatCode>#,##0</c:formatCode>
                <c:ptCount val="5"/>
                <c:pt idx="0">
                  <c:v>242.66666666666666</c:v>
                </c:pt>
                <c:pt idx="1">
                  <c:v>242.33333333333334</c:v>
                </c:pt>
                <c:pt idx="2">
                  <c:v>238.33333333333334</c:v>
                </c:pt>
                <c:pt idx="3">
                  <c:v>231.33333333333334</c:v>
                </c:pt>
                <c:pt idx="4">
                  <c:v>223.33333333333334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E5-4242-AEE2-1535FA54C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2616"/>
        <c:axId val="539932224"/>
      </c:scatterChart>
      <c:valAx>
        <c:axId val="539933400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30264"/>
        <c:crosses val="autoZero"/>
        <c:crossBetween val="midCat"/>
        <c:majorUnit val="0.5"/>
        <c:minorUnit val="0.1"/>
      </c:valAx>
      <c:valAx>
        <c:axId val="53993026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33400"/>
        <c:crosses val="autoZero"/>
        <c:crossBetween val="midCat"/>
        <c:majorUnit val="40"/>
      </c:valAx>
      <c:valAx>
        <c:axId val="53993222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39932616"/>
        <c:crosses val="max"/>
        <c:crossBetween val="midCat"/>
      </c:valAx>
      <c:valAx>
        <c:axId val="53993261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3222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36746105494573"/>
          <c:y val="0.25098473555790579"/>
          <c:w val="0.13048462109938122"/>
          <c:h val="0.5983554826958972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ist" dx="22" noThreeD="1" sel="1" val="0">
  <itemLst>
    <item val="2013-07-25"/>
  </itemLst>
</formControlPr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1</xdr:row>
      <xdr:rowOff>57150</xdr:rowOff>
    </xdr:from>
    <xdr:to>
      <xdr:col>6</xdr:col>
      <xdr:colOff>457200</xdr:colOff>
      <xdr:row>2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11</xdr:col>
      <xdr:colOff>9525</xdr:colOff>
      <xdr:row>57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59</xdr:row>
      <xdr:rowOff>0</xdr:rowOff>
    </xdr:from>
    <xdr:to>
      <xdr:col>11</xdr:col>
      <xdr:colOff>9525</xdr:colOff>
      <xdr:row>76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78</xdr:row>
      <xdr:rowOff>0</xdr:rowOff>
    </xdr:from>
    <xdr:to>
      <xdr:col>11</xdr:col>
      <xdr:colOff>9525</xdr:colOff>
      <xdr:row>95</xdr:row>
      <xdr:rowOff>123824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27</xdr:row>
          <xdr:rowOff>66675</xdr:rowOff>
        </xdr:from>
        <xdr:to>
          <xdr:col>11</xdr:col>
          <xdr:colOff>1552575</xdr:colOff>
          <xdr:row>30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Retrieve Pump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0</xdr:row>
          <xdr:rowOff>257175</xdr:rowOff>
        </xdr:from>
        <xdr:to>
          <xdr:col>3</xdr:col>
          <xdr:colOff>771525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Load Pumps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13</xdr:row>
          <xdr:rowOff>133350</xdr:rowOff>
        </xdr:from>
        <xdr:to>
          <xdr:col>2</xdr:col>
          <xdr:colOff>9525</xdr:colOff>
          <xdr:row>17</xdr:row>
          <xdr:rowOff>123825</xdr:rowOff>
        </xdr:to>
        <xdr:sp macro="" textlink="">
          <xdr:nvSpPr>
            <xdr:cNvPr id="1027" name="dateListbox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13</xdr:row>
          <xdr:rowOff>152400</xdr:rowOff>
        </xdr:from>
        <xdr:to>
          <xdr:col>2</xdr:col>
          <xdr:colOff>742950</xdr:colOff>
          <xdr:row>17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Load Test Dates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0.52315</cdr:x>
      <cdr:y>0.01858</cdr:y>
    </cdr:from>
    <cdr:to>
      <cdr:x>0.60655</cdr:x>
      <cdr:y>0.0979</cdr:y>
    </cdr:to>
    <cdr:sp macro="" textlink="PAUEngineerTemplate!$C$2">
      <cdr:nvSpPr>
        <cdr:cNvPr id="4" name="TextBox 3"/>
        <cdr:cNvSpPr txBox="1"/>
      </cdr:nvSpPr>
      <cdr:spPr>
        <a:xfrm xmlns:a="http://schemas.openxmlformats.org/drawingml/2006/main">
          <a:off x="4903240" y="62470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2A075A-3C38-465F-80C1-A88767C2E6D9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0.44306</cdr:x>
      <cdr:y>0.02077</cdr:y>
    </cdr:from>
    <cdr:to>
      <cdr:x>0.5318</cdr:x>
      <cdr:y>0.11426</cdr:y>
    </cdr:to>
    <cdr:sp macro="" textlink="PAUEngineerTemplate!$B$2">
      <cdr:nvSpPr>
        <cdr:cNvPr id="5" name="TextBox 4"/>
        <cdr:cNvSpPr txBox="1"/>
      </cdr:nvSpPr>
      <cdr:spPr>
        <a:xfrm xmlns:a="http://schemas.openxmlformats.org/drawingml/2006/main">
          <a:off x="4152663" y="69850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E900FF6-46EF-4530-9026-4C3B004E9AC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1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Efficiencies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Volts</a:t>
          </a:r>
        </a:p>
      </cdr:txBody>
    </cdr:sp>
  </cdr:relSizeAnchor>
  <cdr:relSizeAnchor xmlns:cdr="http://schemas.openxmlformats.org/drawingml/2006/chartDrawing">
    <cdr:from>
      <cdr:x>0.52453</cdr:x>
      <cdr:y>0.02927</cdr:y>
    </cdr:from>
    <cdr:to>
      <cdr:x>0.60793</cdr:x>
      <cdr:y>0.10859</cdr:y>
    </cdr:to>
    <cdr:sp macro="" textlink="PAUEngineerTemplate!$C$2">
      <cdr:nvSpPr>
        <cdr:cNvPr id="10" name="TextBox 1"/>
        <cdr:cNvSpPr txBox="1"/>
      </cdr:nvSpPr>
      <cdr:spPr>
        <a:xfrm xmlns:a="http://schemas.openxmlformats.org/drawingml/2006/main">
          <a:off x="4916177" y="9842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7ED2F58-4E96-4CB4-BC4F-44EEB157B8BF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0.44444</cdr:x>
      <cdr:y>0.03147</cdr:y>
    </cdr:from>
    <cdr:to>
      <cdr:x>0.53318</cdr:x>
      <cdr:y>0.12495</cdr:y>
    </cdr:to>
    <cdr:sp macro="" textlink="PAUEngineerTemplate!$B$2">
      <cdr:nvSpPr>
        <cdr:cNvPr id="11" name="TextBox 2"/>
        <cdr:cNvSpPr txBox="1"/>
      </cdr:nvSpPr>
      <cdr:spPr>
        <a:xfrm xmlns:a="http://schemas.openxmlformats.org/drawingml/2006/main">
          <a:off x="4165600" y="10580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141EDA-CB95-4B06-BC8C-BD948B751727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1</a:t>
          </a:fld>
          <a:endParaRPr lang="en-US" sz="1400" b="1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0.43419</cdr:x>
      <cdr:y>0.11426</cdr:y>
    </cdr:from>
    <cdr:to>
      <cdr:x>0.53623</cdr:x>
      <cdr:y>0.19074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660900" y="384175"/>
          <a:ext cx="1095366" cy="25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0.49912</cdr:x>
      <cdr:y>0.01228</cdr:y>
    </cdr:from>
    <cdr:to>
      <cdr:x>0.58253</cdr:x>
      <cdr:y>0.0916</cdr:y>
    </cdr:to>
    <cdr:sp macro="" textlink="PAUEngineerTemplate!$C$2">
      <cdr:nvSpPr>
        <cdr:cNvPr id="7" name="TextBox 1"/>
        <cdr:cNvSpPr txBox="1"/>
      </cdr:nvSpPr>
      <cdr:spPr>
        <a:xfrm xmlns:a="http://schemas.openxmlformats.org/drawingml/2006/main">
          <a:off x="4678052" y="4127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3EC296E-3799-4AA8-A54F-2272621747A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0.41904</cdr:x>
      <cdr:y>0.01447</cdr:y>
    </cdr:from>
    <cdr:to>
      <cdr:x>0.50777</cdr:x>
      <cdr:y>0.10795</cdr:y>
    </cdr:to>
    <cdr:sp macro="" textlink="PAUEngineerTemplate!$B$2">
      <cdr:nvSpPr>
        <cdr:cNvPr id="8" name="TextBox 2"/>
        <cdr:cNvSpPr txBox="1"/>
      </cdr:nvSpPr>
      <cdr:spPr>
        <a:xfrm xmlns:a="http://schemas.openxmlformats.org/drawingml/2006/main">
          <a:off x="3927475" y="4865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F76B02F-B095-4E67-AAA6-4A44B1E0C0C2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1</a:t>
          </a:fld>
          <a:endParaRPr lang="en-US" sz="1400" b="1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60"/>
  <sheetViews>
    <sheetView tabSelected="1" zoomScale="86" zoomScaleNormal="100" workbookViewId="0">
      <selection activeCell="L16" sqref="L16"/>
    </sheetView>
  </sheetViews>
  <sheetFormatPr defaultRowHeight="15" x14ac:dyDescent="0.25"/>
  <cols>
    <col min="1" max="1" width="27.7109375" customWidth="1"/>
    <col min="2" max="2" width="13.5703125" customWidth="1"/>
    <col min="3" max="3" width="11.5703125" customWidth="1"/>
    <col min="4" max="4" width="12.5703125" customWidth="1"/>
    <col min="5" max="5" width="18.28515625" customWidth="1"/>
    <col min="6" max="6" width="13" customWidth="1"/>
    <col min="7" max="8" width="8.42578125" customWidth="1"/>
    <col min="9" max="10" width="11" customWidth="1"/>
    <col min="11" max="11" width="11.7109375" customWidth="1"/>
    <col min="12" max="12" width="33.85546875" customWidth="1"/>
    <col min="13" max="13" width="18" customWidth="1"/>
    <col min="14" max="14" width="14.42578125" customWidth="1"/>
    <col min="15" max="15" width="25.42578125" customWidth="1"/>
    <col min="16" max="16" width="23" customWidth="1"/>
    <col min="19" max="19" width="10.7109375" customWidth="1"/>
    <col min="20" max="20" width="10.42578125" customWidth="1"/>
    <col min="22" max="22" width="10.28515625" customWidth="1"/>
  </cols>
  <sheetData>
    <row r="1" spans="1:18" s="64" customFormat="1" ht="21.75" thickBot="1" x14ac:dyDescent="0.4">
      <c r="A1" s="5" t="s">
        <v>48</v>
      </c>
      <c r="B1" s="70" t="s">
        <v>47</v>
      </c>
    </row>
    <row r="2" spans="1:18" ht="21" x14ac:dyDescent="0.35">
      <c r="A2" s="75" t="s">
        <v>53</v>
      </c>
      <c r="B2" s="74">
        <v>1</v>
      </c>
      <c r="C2" s="71"/>
      <c r="D2" s="4"/>
      <c r="E2" s="4"/>
      <c r="G2" s="4"/>
      <c r="H2" s="89" t="s">
        <v>9</v>
      </c>
      <c r="I2" s="90"/>
      <c r="J2" s="90"/>
      <c r="K2" s="91"/>
      <c r="M2" s="89" t="str">
        <f>E19&amp;" "&amp;B18&amp;" Transposed for Model Use"</f>
        <v>Test Pump Curve  Transposed for Model Use</v>
      </c>
      <c r="N2" s="90"/>
      <c r="O2" s="90"/>
      <c r="P2" s="91"/>
    </row>
    <row r="3" spans="1:18" ht="16.5" thickBot="1" x14ac:dyDescent="0.3">
      <c r="A3" s="6"/>
      <c r="B3" s="14"/>
      <c r="D3" s="8" t="s">
        <v>14</v>
      </c>
      <c r="E3" s="13"/>
      <c r="G3" s="4"/>
      <c r="H3" s="39" t="s">
        <v>7</v>
      </c>
      <c r="I3" s="10" t="s">
        <v>20</v>
      </c>
      <c r="J3" s="2" t="s">
        <v>8</v>
      </c>
      <c r="K3" s="40" t="s">
        <v>36</v>
      </c>
      <c r="M3" s="45" t="s">
        <v>38</v>
      </c>
      <c r="N3" s="31" t="s">
        <v>3</v>
      </c>
      <c r="O3" s="31" t="s">
        <v>1</v>
      </c>
      <c r="P3" s="46" t="s">
        <v>6</v>
      </c>
      <c r="Q3" s="58"/>
    </row>
    <row r="4" spans="1:18" ht="15.75" customHeight="1" x14ac:dyDescent="0.25">
      <c r="A4" s="92" t="s">
        <v>10</v>
      </c>
      <c r="B4" s="93"/>
      <c r="D4" s="9" t="s">
        <v>16</v>
      </c>
      <c r="E4" s="65" t="s">
        <v>54</v>
      </c>
      <c r="G4">
        <v>1</v>
      </c>
      <c r="H4" s="11">
        <v>202.89</v>
      </c>
      <c r="I4" s="30">
        <f t="shared" ref="I4:I9" si="0">IF(J4&lt;&gt;"",J4*1440/1000000,NA())</f>
        <v>0</v>
      </c>
      <c r="J4" s="12">
        <v>0</v>
      </c>
      <c r="K4" s="41">
        <v>0</v>
      </c>
      <c r="M4" s="47">
        <v>1</v>
      </c>
      <c r="N4" s="37" t="str">
        <f t="shared" ref="N4:P13" si="1">VLOOKUP(N$3,$A$20:$K$39,1+$M4,FALSE)</f>
        <v>Suction Type?</v>
      </c>
      <c r="O4" s="32">
        <f t="shared" si="1"/>
        <v>960</v>
      </c>
      <c r="P4" s="48" t="e">
        <f t="shared" si="1"/>
        <v>#VALUE!</v>
      </c>
      <c r="Q4" s="59"/>
    </row>
    <row r="5" spans="1:18" ht="15.75" customHeight="1" x14ac:dyDescent="0.25">
      <c r="A5" s="25" t="s">
        <v>11</v>
      </c>
      <c r="B5" s="29">
        <f>B6*1440/1000000</f>
        <v>0</v>
      </c>
      <c r="D5" s="9" t="s">
        <v>46</v>
      </c>
      <c r="E5" s="66" t="s">
        <v>55</v>
      </c>
      <c r="G5">
        <v>2</v>
      </c>
      <c r="H5" s="11">
        <v>164.97</v>
      </c>
      <c r="I5" s="30">
        <f t="shared" si="0"/>
        <v>3.0941136</v>
      </c>
      <c r="J5" s="12">
        <v>2148.69</v>
      </c>
      <c r="K5" s="41">
        <v>0.41870000000000002</v>
      </c>
      <c r="M5" s="47">
        <v>2</v>
      </c>
      <c r="N5" s="37" t="str">
        <f t="shared" si="1"/>
        <v>Suction Type?</v>
      </c>
      <c r="O5" s="32">
        <f t="shared" si="1"/>
        <v>926</v>
      </c>
      <c r="P5" s="48" t="e">
        <f t="shared" si="1"/>
        <v>#VALUE!</v>
      </c>
      <c r="Q5" s="59"/>
    </row>
    <row r="6" spans="1:18" ht="16.5" customHeight="1" x14ac:dyDescent="0.25">
      <c r="A6" s="25" t="s">
        <v>12</v>
      </c>
      <c r="B6" s="34"/>
      <c r="C6" s="21"/>
      <c r="D6" s="9" t="s">
        <v>18</v>
      </c>
      <c r="E6" s="36"/>
      <c r="G6">
        <v>3</v>
      </c>
      <c r="H6" s="11">
        <v>151.58000000000001</v>
      </c>
      <c r="I6" s="30">
        <f t="shared" si="0"/>
        <v>4.5163152000000002</v>
      </c>
      <c r="J6" s="12">
        <v>3136.33</v>
      </c>
      <c r="K6" s="41">
        <v>0.57489999999999997</v>
      </c>
      <c r="M6" s="47">
        <v>3</v>
      </c>
      <c r="N6" s="37" t="str">
        <f t="shared" si="1"/>
        <v>Suction Type?</v>
      </c>
      <c r="O6" s="32">
        <f t="shared" si="1"/>
        <v>875</v>
      </c>
      <c r="P6" s="48" t="e">
        <f t="shared" si="1"/>
        <v>#VALUE!</v>
      </c>
      <c r="Q6" s="59"/>
    </row>
    <row r="7" spans="1:18" ht="15.75" thickBot="1" x14ac:dyDescent="0.3">
      <c r="A7" s="26" t="s">
        <v>13</v>
      </c>
      <c r="B7" s="35"/>
      <c r="D7" s="8" t="s">
        <v>15</v>
      </c>
      <c r="E7" s="13"/>
      <c r="G7">
        <v>4</v>
      </c>
      <c r="H7" s="11">
        <v>135.30000000000001</v>
      </c>
      <c r="I7" s="30">
        <f t="shared" si="0"/>
        <v>5.8827167999999999</v>
      </c>
      <c r="J7" s="12">
        <v>4085.22</v>
      </c>
      <c r="K7" s="41">
        <v>0.68489999999999995</v>
      </c>
      <c r="M7" s="47">
        <v>4</v>
      </c>
      <c r="N7" s="37" t="str">
        <f t="shared" si="1"/>
        <v>Suction Type?</v>
      </c>
      <c r="O7" s="32">
        <f t="shared" si="1"/>
        <v>818</v>
      </c>
      <c r="P7" s="48" t="e">
        <f t="shared" si="1"/>
        <v>#VALUE!</v>
      </c>
      <c r="Q7" s="59"/>
    </row>
    <row r="8" spans="1:18" ht="15.75" thickBot="1" x14ac:dyDescent="0.3">
      <c r="D8" s="8" t="s">
        <v>17</v>
      </c>
      <c r="E8" s="13"/>
      <c r="G8">
        <v>5</v>
      </c>
      <c r="H8" s="11">
        <v>130.82</v>
      </c>
      <c r="I8" s="30">
        <f t="shared" si="0"/>
        <v>6.4436688000000011</v>
      </c>
      <c r="J8" s="12">
        <v>4474.7700000000004</v>
      </c>
      <c r="K8" s="41">
        <v>0.72370000000000001</v>
      </c>
      <c r="M8" s="47">
        <v>5</v>
      </c>
      <c r="N8" s="37" t="str">
        <f t="shared" si="1"/>
        <v>Suction Type?</v>
      </c>
      <c r="O8" s="32">
        <f t="shared" si="1"/>
        <v>750</v>
      </c>
      <c r="P8" s="48" t="e">
        <f t="shared" si="1"/>
        <v>#VALUE!</v>
      </c>
      <c r="Q8" s="59"/>
    </row>
    <row r="9" spans="1:18" s="15" customFormat="1" ht="15" customHeight="1" x14ac:dyDescent="0.25">
      <c r="A9" s="92" t="s">
        <v>42</v>
      </c>
      <c r="B9" s="93"/>
      <c r="D9" s="9" t="s">
        <v>19</v>
      </c>
      <c r="E9" s="36"/>
      <c r="G9">
        <v>6</v>
      </c>
      <c r="H9" s="11">
        <v>125</v>
      </c>
      <c r="I9" s="30">
        <f t="shared" si="0"/>
        <v>7.2675792000000001</v>
      </c>
      <c r="J9" s="12">
        <v>5046.93</v>
      </c>
      <c r="K9" s="41">
        <v>0.77070000000000005</v>
      </c>
      <c r="M9" s="47">
        <v>6</v>
      </c>
      <c r="N9" s="37" t="str">
        <f t="shared" si="1"/>
        <v/>
      </c>
      <c r="O9" s="32">
        <f t="shared" si="1"/>
        <v>0</v>
      </c>
      <c r="P9" s="48" t="str">
        <f t="shared" si="1"/>
        <v/>
      </c>
      <c r="Q9"/>
      <c r="R9"/>
    </row>
    <row r="10" spans="1:18" x14ac:dyDescent="0.25">
      <c r="A10" s="53" t="s">
        <v>32</v>
      </c>
      <c r="B10" s="57"/>
      <c r="D10" s="8" t="s">
        <v>28</v>
      </c>
      <c r="E10" s="13"/>
      <c r="G10">
        <v>7</v>
      </c>
      <c r="H10" s="11">
        <v>123.04</v>
      </c>
      <c r="I10" s="30">
        <f>IF(J10&lt;&gt;"",J10*1440/1000000,NA())</f>
        <v>8.0114400000000003</v>
      </c>
      <c r="J10" s="12">
        <v>5563.5</v>
      </c>
      <c r="K10" s="41">
        <v>0.81710000000000005</v>
      </c>
      <c r="M10" s="47">
        <v>7</v>
      </c>
      <c r="N10" s="37" t="str">
        <f t="shared" si="1"/>
        <v/>
      </c>
      <c r="O10" s="32">
        <f t="shared" si="1"/>
        <v>0</v>
      </c>
      <c r="P10" s="48" t="str">
        <f t="shared" si="1"/>
        <v/>
      </c>
    </row>
    <row r="11" spans="1:18" x14ac:dyDescent="0.25">
      <c r="A11" s="55" t="s">
        <v>30</v>
      </c>
      <c r="B11" s="57"/>
      <c r="C11" s="21"/>
      <c r="D11" s="8" t="s">
        <v>43</v>
      </c>
      <c r="E11" s="13"/>
      <c r="G11">
        <v>8</v>
      </c>
      <c r="H11" s="11">
        <v>117.22</v>
      </c>
      <c r="I11" s="30">
        <f t="shared" ref="I11:I13" si="2">IF(J11&lt;&gt;"",J11*1440/1000000,NA())</f>
        <v>8.8218288000000005</v>
      </c>
      <c r="J11" s="12">
        <v>6126.27</v>
      </c>
      <c r="K11" s="41">
        <v>0.83589999999999998</v>
      </c>
      <c r="M11" s="47">
        <v>8</v>
      </c>
      <c r="N11" s="37" t="str">
        <f t="shared" si="1"/>
        <v/>
      </c>
      <c r="O11" s="32">
        <f t="shared" si="1"/>
        <v>0</v>
      </c>
      <c r="P11" s="48" t="str">
        <f t="shared" si="1"/>
        <v/>
      </c>
    </row>
    <row r="12" spans="1:18" x14ac:dyDescent="0.25">
      <c r="A12" s="55" t="s">
        <v>33</v>
      </c>
      <c r="B12" s="54" t="s">
        <v>35</v>
      </c>
      <c r="D12" s="8" t="s">
        <v>44</v>
      </c>
      <c r="E12" s="13"/>
      <c r="G12">
        <v>9</v>
      </c>
      <c r="H12" s="11">
        <v>91.43</v>
      </c>
      <c r="I12" s="30">
        <f t="shared" si="2"/>
        <v>10.721476800000001</v>
      </c>
      <c r="J12" s="12">
        <v>7445.47</v>
      </c>
      <c r="K12" s="41">
        <v>0.79490000000000005</v>
      </c>
      <c r="M12" s="47">
        <v>9</v>
      </c>
      <c r="N12" s="37" t="str">
        <f t="shared" si="1"/>
        <v/>
      </c>
      <c r="O12" s="32">
        <f t="shared" si="1"/>
        <v>0</v>
      </c>
      <c r="P12" s="48" t="str">
        <f t="shared" si="1"/>
        <v/>
      </c>
    </row>
    <row r="13" spans="1:18" ht="15.75" thickBot="1" x14ac:dyDescent="0.3">
      <c r="A13" s="56" t="s">
        <v>21</v>
      </c>
      <c r="B13" s="35"/>
      <c r="G13">
        <v>10</v>
      </c>
      <c r="H13" s="42">
        <v>56.06</v>
      </c>
      <c r="I13" s="30">
        <f t="shared" si="2"/>
        <v>12.5996688</v>
      </c>
      <c r="J13" s="43">
        <v>8749.77</v>
      </c>
      <c r="K13" s="44">
        <v>0.61519999999999997</v>
      </c>
      <c r="M13" s="49">
        <v>10</v>
      </c>
      <c r="N13" s="50" t="str">
        <f t="shared" si="1"/>
        <v/>
      </c>
      <c r="O13" s="51">
        <f t="shared" si="1"/>
        <v>0</v>
      </c>
      <c r="P13" s="52" t="str">
        <f t="shared" si="1"/>
        <v/>
      </c>
    </row>
    <row r="14" spans="1:18" x14ac:dyDescent="0.25">
      <c r="C14" s="21"/>
      <c r="D14" s="94" t="s">
        <v>45</v>
      </c>
      <c r="E14" s="95"/>
      <c r="G14" s="21"/>
    </row>
    <row r="15" spans="1:18" x14ac:dyDescent="0.25">
      <c r="A15" s="73" t="s">
        <v>51</v>
      </c>
      <c r="C15" s="21"/>
      <c r="D15" s="10" t="s">
        <v>11</v>
      </c>
      <c r="E15" s="61"/>
      <c r="G15" s="21"/>
      <c r="J15" s="38" t="s">
        <v>39</v>
      </c>
      <c r="K15" s="33"/>
      <c r="N15" s="68"/>
      <c r="O15" s="67"/>
      <c r="P15" s="67"/>
      <c r="Q15" s="67"/>
    </row>
    <row r="16" spans="1:18" x14ac:dyDescent="0.25">
      <c r="C16" s="21"/>
      <c r="D16" s="10" t="s">
        <v>12</v>
      </c>
      <c r="E16" s="28">
        <f>E15*1000000/1440</f>
        <v>0</v>
      </c>
      <c r="G16" s="21"/>
      <c r="J16" s="38" t="s">
        <v>40</v>
      </c>
      <c r="K16" s="28"/>
      <c r="N16" s="68"/>
      <c r="O16" s="67"/>
      <c r="P16" s="67"/>
      <c r="Q16" s="67"/>
    </row>
    <row r="17" spans="1:15" ht="15.75" x14ac:dyDescent="0.25">
      <c r="A17" s="1"/>
      <c r="J17" s="38" t="s">
        <v>41</v>
      </c>
      <c r="K17" s="17"/>
    </row>
    <row r="18" spans="1:15" ht="15.75" customHeight="1" x14ac:dyDescent="0.25">
      <c r="A18" s="16"/>
      <c r="B18" s="80"/>
      <c r="C18" s="81"/>
      <c r="D18" s="82"/>
      <c r="F18" s="21"/>
    </row>
    <row r="19" spans="1:15" s="69" customFormat="1" ht="15.75" customHeight="1" x14ac:dyDescent="0.25">
      <c r="A19" s="16" t="s">
        <v>50</v>
      </c>
      <c r="B19" s="85">
        <v>41480</v>
      </c>
      <c r="C19" s="83"/>
      <c r="D19" s="82"/>
      <c r="E19" s="27" t="s">
        <v>37</v>
      </c>
      <c r="F19" s="21"/>
    </row>
    <row r="20" spans="1:15" x14ac:dyDescent="0.25">
      <c r="A20" s="86" t="s">
        <v>52</v>
      </c>
      <c r="B20" s="87">
        <v>1</v>
      </c>
      <c r="C20" s="2">
        <v>2</v>
      </c>
      <c r="D20" s="2">
        <v>3</v>
      </c>
      <c r="E20" s="84">
        <v>4</v>
      </c>
      <c r="F20" s="2">
        <v>5</v>
      </c>
      <c r="G20" s="2"/>
      <c r="H20" s="2"/>
      <c r="I20" s="2"/>
      <c r="J20" s="2"/>
      <c r="K20" s="2"/>
    </row>
    <row r="21" spans="1:15" x14ac:dyDescent="0.25">
      <c r="A21" s="3" t="s">
        <v>0</v>
      </c>
      <c r="B21" s="60" t="s">
        <v>56</v>
      </c>
      <c r="C21" s="88" t="s">
        <v>56</v>
      </c>
      <c r="D21" s="88" t="s">
        <v>56</v>
      </c>
      <c r="E21" s="60" t="s">
        <v>56</v>
      </c>
      <c r="F21" s="60" t="s">
        <v>56</v>
      </c>
      <c r="G21" s="60"/>
      <c r="H21" s="60"/>
      <c r="I21" s="60"/>
      <c r="J21" s="60"/>
      <c r="K21" s="60"/>
      <c r="L21" s="7"/>
    </row>
    <row r="22" spans="1:15" x14ac:dyDescent="0.25">
      <c r="A22" s="3" t="s">
        <v>29</v>
      </c>
      <c r="B22" s="61">
        <v>1786</v>
      </c>
      <c r="C22" s="61">
        <v>1786</v>
      </c>
      <c r="D22" s="61">
        <v>1786</v>
      </c>
      <c r="E22" s="61">
        <v>1786</v>
      </c>
      <c r="F22" s="61">
        <v>1786</v>
      </c>
      <c r="G22" s="61"/>
      <c r="H22" s="61"/>
      <c r="I22" s="61"/>
      <c r="J22" s="61"/>
      <c r="K22" s="61"/>
      <c r="L22" s="7"/>
    </row>
    <row r="23" spans="1:15" ht="14.25" customHeight="1" x14ac:dyDescent="0.25">
      <c r="A23" s="3" t="str">
        <f>IF(AND(B12="NA",ISNUMBER(B11)),"Reservoir Level (ft):",IF(AND(B11="NA",ISNUMBER(B12)),"Suction Pressure (psi):","Error Suction Configuration"))</f>
        <v>Error Suction Configuration</v>
      </c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7"/>
      <c r="O23" s="72"/>
    </row>
    <row r="24" spans="1:15" x14ac:dyDescent="0.25">
      <c r="A24" s="3" t="s">
        <v>31</v>
      </c>
      <c r="B24" s="61">
        <v>8</v>
      </c>
      <c r="C24" s="61">
        <v>22</v>
      </c>
      <c r="D24" s="61">
        <v>41</v>
      </c>
      <c r="E24" s="61">
        <v>61</v>
      </c>
      <c r="F24" s="61">
        <v>84</v>
      </c>
      <c r="G24" s="61"/>
      <c r="H24" s="61"/>
      <c r="I24" s="61"/>
      <c r="J24" s="61"/>
      <c r="K24" s="61"/>
      <c r="L24" s="7"/>
      <c r="O24" s="72"/>
    </row>
    <row r="25" spans="1:15" x14ac:dyDescent="0.25">
      <c r="A25" s="3" t="s">
        <v>34</v>
      </c>
      <c r="B25" s="61">
        <v>0</v>
      </c>
      <c r="C25" s="61">
        <v>18</v>
      </c>
      <c r="D25" s="61">
        <v>37</v>
      </c>
      <c r="E25" s="61">
        <v>59</v>
      </c>
      <c r="F25" s="61">
        <v>81</v>
      </c>
      <c r="G25" s="61"/>
      <c r="H25" s="61"/>
      <c r="I25" s="61"/>
      <c r="J25" s="61"/>
      <c r="K25" s="61"/>
      <c r="L25" s="7"/>
    </row>
    <row r="26" spans="1:15" x14ac:dyDescent="0.25">
      <c r="A26" s="3" t="s">
        <v>1</v>
      </c>
      <c r="B26" s="63">
        <v>960</v>
      </c>
      <c r="C26" s="63">
        <v>926</v>
      </c>
      <c r="D26" s="63">
        <v>875</v>
      </c>
      <c r="E26" s="63">
        <v>818</v>
      </c>
      <c r="F26" s="63">
        <v>750</v>
      </c>
      <c r="G26" s="63"/>
      <c r="H26" s="63"/>
      <c r="I26" s="63"/>
      <c r="J26" s="63"/>
      <c r="K26" s="63"/>
    </row>
    <row r="27" spans="1:15" x14ac:dyDescent="0.25">
      <c r="A27" s="3" t="s">
        <v>22</v>
      </c>
      <c r="B27" s="61">
        <v>248</v>
      </c>
      <c r="C27" s="61">
        <v>247</v>
      </c>
      <c r="D27" s="61">
        <v>243</v>
      </c>
      <c r="E27" s="61">
        <v>236</v>
      </c>
      <c r="F27" s="61">
        <v>228</v>
      </c>
      <c r="G27" s="61"/>
      <c r="H27" s="61"/>
      <c r="I27" s="61"/>
      <c r="J27" s="61"/>
      <c r="K27" s="61"/>
    </row>
    <row r="28" spans="1:15" x14ac:dyDescent="0.25">
      <c r="A28" s="3" t="s">
        <v>23</v>
      </c>
      <c r="B28" s="61">
        <v>240</v>
      </c>
      <c r="C28" s="61">
        <v>240</v>
      </c>
      <c r="D28" s="61">
        <v>237</v>
      </c>
      <c r="E28" s="61">
        <v>229</v>
      </c>
      <c r="F28" s="61">
        <v>220</v>
      </c>
      <c r="G28" s="61"/>
      <c r="H28" s="61"/>
      <c r="I28" s="61"/>
      <c r="J28" s="61"/>
      <c r="K28" s="61"/>
    </row>
    <row r="29" spans="1:15" x14ac:dyDescent="0.25">
      <c r="A29" s="3" t="s">
        <v>24</v>
      </c>
      <c r="B29" s="61">
        <v>240</v>
      </c>
      <c r="C29" s="61">
        <v>240</v>
      </c>
      <c r="D29" s="61">
        <v>235</v>
      </c>
      <c r="E29" s="61">
        <v>229</v>
      </c>
      <c r="F29" s="61">
        <v>222</v>
      </c>
      <c r="G29" s="61"/>
      <c r="H29" s="61"/>
      <c r="I29" s="61"/>
      <c r="J29" s="61"/>
      <c r="K29" s="61"/>
    </row>
    <row r="30" spans="1:15" x14ac:dyDescent="0.25">
      <c r="A30" s="3" t="s">
        <v>25</v>
      </c>
      <c r="B30" s="61">
        <v>483</v>
      </c>
      <c r="C30" s="61">
        <v>483</v>
      </c>
      <c r="D30" s="61">
        <v>483</v>
      </c>
      <c r="E30" s="61">
        <v>481</v>
      </c>
      <c r="F30" s="61">
        <v>481</v>
      </c>
      <c r="G30" s="61"/>
      <c r="H30" s="61"/>
      <c r="I30" s="61"/>
      <c r="J30" s="61"/>
      <c r="K30" s="61"/>
    </row>
    <row r="31" spans="1:15" x14ac:dyDescent="0.25">
      <c r="A31" s="3" t="s">
        <v>26</v>
      </c>
      <c r="B31" s="61">
        <v>483</v>
      </c>
      <c r="C31" s="61">
        <v>485</v>
      </c>
      <c r="D31" s="61">
        <v>486</v>
      </c>
      <c r="E31" s="61">
        <v>481</v>
      </c>
      <c r="F31" s="61">
        <v>481</v>
      </c>
      <c r="G31" s="61"/>
      <c r="H31" s="61"/>
      <c r="I31" s="61"/>
      <c r="J31" s="61"/>
      <c r="K31" s="61"/>
    </row>
    <row r="32" spans="1:15" x14ac:dyDescent="0.25">
      <c r="A32" s="3" t="s">
        <v>27</v>
      </c>
      <c r="B32" s="61">
        <v>486</v>
      </c>
      <c r="C32" s="61">
        <v>483</v>
      </c>
      <c r="D32" s="61">
        <v>483</v>
      </c>
      <c r="E32" s="61">
        <v>484</v>
      </c>
      <c r="F32" s="61">
        <v>484</v>
      </c>
      <c r="G32" s="61"/>
      <c r="H32" s="61"/>
      <c r="I32" s="61"/>
      <c r="J32" s="61"/>
      <c r="K32" s="61"/>
    </row>
    <row r="33" spans="1:16" x14ac:dyDescent="0.25">
      <c r="A33" s="3" t="s">
        <v>2</v>
      </c>
      <c r="B33" s="18">
        <f t="shared" ref="B33:C33" si="3">IF(ISERR((B36*B35*$E$11*1.732)/1000)=FALSE,(B36*B35*$E$11*1.732)/1000,"")</f>
        <v>0</v>
      </c>
      <c r="C33" s="18">
        <f t="shared" si="3"/>
        <v>0</v>
      </c>
      <c r="D33" s="18">
        <f t="shared" ref="D33:K33" si="4">IF(ISERR((D36*D35*$E$11*1.732)/1000)=FALSE,(D36*D35*$E$11*1.732)/1000,"")</f>
        <v>0</v>
      </c>
      <c r="E33" s="18">
        <f t="shared" si="4"/>
        <v>0</v>
      </c>
      <c r="F33" s="18">
        <f t="shared" si="4"/>
        <v>0</v>
      </c>
      <c r="G33" s="18" t="str">
        <f t="shared" si="4"/>
        <v/>
      </c>
      <c r="H33" s="18" t="str">
        <f t="shared" si="4"/>
        <v/>
      </c>
      <c r="I33" s="18" t="str">
        <f t="shared" si="4"/>
        <v/>
      </c>
      <c r="J33" s="18" t="str">
        <f t="shared" si="4"/>
        <v/>
      </c>
      <c r="K33" s="18" t="str">
        <f t="shared" si="4"/>
        <v/>
      </c>
    </row>
    <row r="34" spans="1:16" x14ac:dyDescent="0.25">
      <c r="A34" s="3" t="s">
        <v>5</v>
      </c>
      <c r="B34" s="19">
        <f t="shared" ref="B34:C34" si="5">IF(B33&lt;&gt;"",1.341*B33,"")</f>
        <v>0</v>
      </c>
      <c r="C34" s="19">
        <f t="shared" si="5"/>
        <v>0</v>
      </c>
      <c r="D34" s="19">
        <f t="shared" ref="D34:K34" si="6">IF(D33&lt;&gt;"",1.341*D33,"")</f>
        <v>0</v>
      </c>
      <c r="E34" s="19">
        <f t="shared" si="6"/>
        <v>0</v>
      </c>
      <c r="F34" s="19">
        <f t="shared" si="6"/>
        <v>0</v>
      </c>
      <c r="G34" s="19" t="str">
        <f t="shared" si="6"/>
        <v/>
      </c>
      <c r="H34" s="19" t="str">
        <f t="shared" si="6"/>
        <v/>
      </c>
      <c r="I34" s="19" t="str">
        <f t="shared" si="6"/>
        <v/>
      </c>
      <c r="J34" s="19" t="str">
        <f t="shared" si="6"/>
        <v/>
      </c>
      <c r="K34" s="19" t="str">
        <f t="shared" si="6"/>
        <v/>
      </c>
    </row>
    <row r="35" spans="1:16" x14ac:dyDescent="0.25">
      <c r="A35" s="3" t="str">
        <f>"Ave. Amps "  &amp; B18</f>
        <v xml:space="preserve">Ave. Amps </v>
      </c>
      <c r="B35" s="19">
        <f t="shared" ref="B35:C35" si="7">IF(B27&lt;&gt;"",AVERAGE(B27:B29),"")</f>
        <v>242.66666666666666</v>
      </c>
      <c r="C35" s="19">
        <f t="shared" si="7"/>
        <v>242.33333333333334</v>
      </c>
      <c r="D35" s="19">
        <f t="shared" ref="D35:K35" si="8">IF(D27&lt;&gt;"",AVERAGE(D27:D29),"")</f>
        <v>238.33333333333334</v>
      </c>
      <c r="E35" s="19">
        <f t="shared" si="8"/>
        <v>231.33333333333334</v>
      </c>
      <c r="F35" s="19">
        <f t="shared" si="8"/>
        <v>223.33333333333334</v>
      </c>
      <c r="G35" s="19" t="str">
        <f t="shared" si="8"/>
        <v/>
      </c>
      <c r="H35" s="19" t="str">
        <f t="shared" si="8"/>
        <v/>
      </c>
      <c r="I35" s="19" t="str">
        <f t="shared" si="8"/>
        <v/>
      </c>
      <c r="J35" s="19" t="str">
        <f t="shared" si="8"/>
        <v/>
      </c>
      <c r="K35" s="19" t="str">
        <f t="shared" si="8"/>
        <v/>
      </c>
    </row>
    <row r="36" spans="1:16" x14ac:dyDescent="0.25">
      <c r="A36" s="24" t="str">
        <f>"Ave. Volts "&amp; B18</f>
        <v xml:space="preserve">Ave. Volts </v>
      </c>
      <c r="B36" s="23">
        <f t="shared" ref="B36:C36" si="9">IF(ISERR(AVERAGE(B30:B32))=FALSE,AVERAGE(B30:B32),"")</f>
        <v>484</v>
      </c>
      <c r="C36" s="23">
        <f t="shared" si="9"/>
        <v>483.66666666666669</v>
      </c>
      <c r="D36" s="23">
        <f t="shared" ref="D36:K36" si="10">IF(ISERR(AVERAGE(D30:D32))=FALSE,AVERAGE(D30:D32),"")</f>
        <v>484</v>
      </c>
      <c r="E36" s="23">
        <f t="shared" si="10"/>
        <v>482</v>
      </c>
      <c r="F36" s="23">
        <f t="shared" si="10"/>
        <v>482</v>
      </c>
      <c r="G36" s="23" t="str">
        <f t="shared" si="10"/>
        <v/>
      </c>
      <c r="H36" s="23" t="str">
        <f t="shared" si="10"/>
        <v/>
      </c>
      <c r="I36" s="23" t="str">
        <f t="shared" si="10"/>
        <v/>
      </c>
      <c r="J36" s="23" t="str">
        <f t="shared" si="10"/>
        <v/>
      </c>
      <c r="K36" s="23" t="str">
        <f t="shared" si="10"/>
        <v/>
      </c>
    </row>
    <row r="37" spans="1:16" x14ac:dyDescent="0.25">
      <c r="A37" s="3" t="s">
        <v>3</v>
      </c>
      <c r="B37" s="18" t="str">
        <f t="shared" ref="B37" si="11">IF(B24="","",IF(LEFT($A$23,5)="Error","Suction Type?",IF(LEFT($A$23,5)="Reser",(B24*2.31+$B$10)-(B23+$B$11),IF(LEFT($A$23,5)="Sucti",(B24*2.31+$B$10)-((B23*2.31)+$B$12)))))</f>
        <v>Suction Type?</v>
      </c>
      <c r="C37" s="18" t="str">
        <f>IF(C24="","",IF(LEFT($A$23,5)="Error","Suction Type?",IF(LEFT($A$23,5)="Reser",(C24*2.31+$B$10)-(C23+$B$11),IF(LEFT($A$23,5)="Sucti",(C24*2.31+$B$10)-((C23*2.31)+$B$12)))))</f>
        <v>Suction Type?</v>
      </c>
      <c r="D37" s="18" t="str">
        <f t="shared" ref="D37:K37" si="12">IF(D24="","",IF(LEFT($A$23,5)="Error","Suction Type?",IF(LEFT($A$23,5)="Reser",(D24*2.31+$B$10)-(D23+$B$11),IF(LEFT($A$23,5)="Sucti",(D24*2.31+$B$10)-((D23*2.31)+$B$12)))))</f>
        <v>Suction Type?</v>
      </c>
      <c r="E37" s="18" t="str">
        <f t="shared" si="12"/>
        <v>Suction Type?</v>
      </c>
      <c r="F37" s="18" t="str">
        <f t="shared" si="12"/>
        <v>Suction Type?</v>
      </c>
      <c r="G37" s="18" t="str">
        <f t="shared" si="12"/>
        <v/>
      </c>
      <c r="H37" s="18" t="str">
        <f t="shared" si="12"/>
        <v/>
      </c>
      <c r="I37" s="18" t="str">
        <f t="shared" si="12"/>
        <v/>
      </c>
      <c r="J37" s="18" t="str">
        <f t="shared" si="12"/>
        <v/>
      </c>
      <c r="K37" s="18" t="str">
        <f t="shared" si="12"/>
        <v/>
      </c>
    </row>
    <row r="38" spans="1:16" x14ac:dyDescent="0.25">
      <c r="A38" s="3" t="s">
        <v>4</v>
      </c>
      <c r="B38" s="19">
        <f t="shared" ref="B38:C38" si="13">IF(B26="","",B26*1000000/1440)</f>
        <v>666666.66666666663</v>
      </c>
      <c r="C38" s="19">
        <f t="shared" si="13"/>
        <v>643055.5555555555</v>
      </c>
      <c r="D38" s="19">
        <f t="shared" ref="D38:K38" si="14">IF(D26="","",D26*1000000/1440)</f>
        <v>607638.88888888888</v>
      </c>
      <c r="E38" s="19">
        <f t="shared" si="14"/>
        <v>568055.5555555555</v>
      </c>
      <c r="F38" s="19">
        <f t="shared" si="14"/>
        <v>520833.33333333331</v>
      </c>
      <c r="G38" s="19" t="str">
        <f t="shared" si="14"/>
        <v/>
      </c>
      <c r="H38" s="19" t="str">
        <f t="shared" si="14"/>
        <v/>
      </c>
      <c r="I38" s="19" t="str">
        <f t="shared" si="14"/>
        <v/>
      </c>
      <c r="J38" s="19" t="str">
        <f t="shared" si="14"/>
        <v/>
      </c>
      <c r="K38" s="19" t="str">
        <f t="shared" si="14"/>
        <v/>
      </c>
    </row>
    <row r="39" spans="1:16" x14ac:dyDescent="0.25">
      <c r="A39" s="3" t="s">
        <v>6</v>
      </c>
      <c r="B39" s="20" t="e">
        <f>IF(B33&lt;&gt;"",B37*B38/3960/B34,"")</f>
        <v>#VALUE!</v>
      </c>
      <c r="C39" s="20" t="e">
        <f>IF(C33&lt;&gt;"",C37*C38/3960/C34,"")</f>
        <v>#VALUE!</v>
      </c>
      <c r="D39" s="20" t="e">
        <f t="shared" ref="D39:K39" si="15">IF(D33&lt;&gt;"",D37*D38/3960/D34,"")</f>
        <v>#VALUE!</v>
      </c>
      <c r="E39" s="20" t="e">
        <f t="shared" si="15"/>
        <v>#VALUE!</v>
      </c>
      <c r="F39" s="20" t="e">
        <f t="shared" si="15"/>
        <v>#VALUE!</v>
      </c>
      <c r="G39" s="20" t="str">
        <f t="shared" si="15"/>
        <v/>
      </c>
      <c r="H39" s="20" t="str">
        <f t="shared" si="15"/>
        <v/>
      </c>
      <c r="I39" s="20" t="str">
        <f t="shared" si="15"/>
        <v/>
      </c>
      <c r="J39" s="20" t="str">
        <f t="shared" si="15"/>
        <v/>
      </c>
      <c r="K39" s="20" t="str">
        <f t="shared" si="15"/>
        <v/>
      </c>
    </row>
    <row r="41" spans="1:16" x14ac:dyDescent="0.25">
      <c r="B41" s="22"/>
    </row>
    <row r="42" spans="1:16" x14ac:dyDescent="0.25">
      <c r="B42" s="22"/>
      <c r="N42" s="67"/>
      <c r="O42" s="67"/>
      <c r="P42" s="67"/>
    </row>
    <row r="43" spans="1:16" x14ac:dyDescent="0.25">
      <c r="N43" s="67"/>
      <c r="O43" s="67"/>
      <c r="P43" s="67"/>
    </row>
    <row r="44" spans="1:16" x14ac:dyDescent="0.25">
      <c r="N44" s="67"/>
      <c r="O44" s="67"/>
      <c r="P44" s="67"/>
    </row>
    <row r="45" spans="1:16" x14ac:dyDescent="0.25">
      <c r="N45" s="67"/>
      <c r="O45" s="67"/>
      <c r="P45" s="67"/>
    </row>
    <row r="46" spans="1:16" x14ac:dyDescent="0.25">
      <c r="N46" s="67"/>
      <c r="O46" s="67"/>
      <c r="P46" s="67"/>
    </row>
    <row r="47" spans="1:16" x14ac:dyDescent="0.25">
      <c r="N47" s="67"/>
      <c r="O47" s="67"/>
      <c r="P47" s="67"/>
    </row>
    <row r="48" spans="1:16" x14ac:dyDescent="0.25">
      <c r="N48" s="67"/>
      <c r="O48" s="67"/>
      <c r="P48" s="67"/>
    </row>
    <row r="49" spans="14:16" x14ac:dyDescent="0.25">
      <c r="N49" s="67"/>
      <c r="O49" s="67"/>
      <c r="P49" s="67"/>
    </row>
    <row r="50" spans="14:16" x14ac:dyDescent="0.25">
      <c r="N50" s="67"/>
      <c r="O50" s="67"/>
      <c r="P50" s="67"/>
    </row>
    <row r="51" spans="14:16" x14ac:dyDescent="0.25">
      <c r="N51" s="67"/>
      <c r="O51" s="67"/>
      <c r="P51" s="67"/>
    </row>
    <row r="52" spans="14:16" x14ac:dyDescent="0.25">
      <c r="N52" s="67"/>
      <c r="O52" s="67"/>
      <c r="P52" s="67"/>
    </row>
    <row r="53" spans="14:16" x14ac:dyDescent="0.25">
      <c r="N53" s="67"/>
      <c r="O53" s="67"/>
      <c r="P53" s="67"/>
    </row>
    <row r="54" spans="14:16" x14ac:dyDescent="0.25">
      <c r="N54" s="67"/>
      <c r="O54" s="67"/>
      <c r="P54" s="67"/>
    </row>
    <row r="55" spans="14:16" x14ac:dyDescent="0.25">
      <c r="N55" s="67"/>
      <c r="O55" s="67"/>
      <c r="P55" s="67"/>
    </row>
    <row r="56" spans="14:16" x14ac:dyDescent="0.25">
      <c r="N56" s="67"/>
      <c r="O56" s="67"/>
      <c r="P56" s="67"/>
    </row>
    <row r="57" spans="14:16" x14ac:dyDescent="0.25">
      <c r="N57" s="67"/>
      <c r="O57" s="67"/>
      <c r="P57" s="67"/>
    </row>
    <row r="58" spans="14:16" x14ac:dyDescent="0.25">
      <c r="N58" s="67"/>
      <c r="O58" s="67"/>
      <c r="P58" s="67"/>
    </row>
    <row r="59" spans="14:16" x14ac:dyDescent="0.25">
      <c r="N59" s="67"/>
      <c r="O59" s="67"/>
      <c r="P59" s="67"/>
    </row>
    <row r="60" spans="14:16" x14ac:dyDescent="0.25">
      <c r="N60" s="67"/>
      <c r="O60" s="67"/>
      <c r="P60" s="67"/>
    </row>
  </sheetData>
  <sheetProtection selectLockedCells="1"/>
  <dataConsolidate/>
  <mergeCells count="5">
    <mergeCell ref="H2:K2"/>
    <mergeCell ref="M2:P2"/>
    <mergeCell ref="A4:B4"/>
    <mergeCell ref="A9:B9"/>
    <mergeCell ref="D14:E14"/>
  </mergeCells>
  <dataValidations disablePrompts="1" count="2">
    <dataValidation allowBlank="1" showInputMessage="1" showErrorMessage="1" promptTitle="Suction Configuration:" prompt="If the pump pulls directly from a reservoir enter the reservoir bottom elevation here. Other wise enter &quot;NA&quot;." sqref="B11" xr:uid="{00000000-0002-0000-00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2" xr:uid="{00000000-0002-0000-0000-000001000000}"/>
  </dataValidations>
  <pageMargins left="0.47" right="0.34" top="0.28999999999999998" bottom="0.17" header="0.26" footer="0.17"/>
  <pageSetup scale="4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rievePumpData">
                <anchor moveWithCells="1">
                  <from>
                    <xdr:col>11</xdr:col>
                    <xdr:colOff>95250</xdr:colOff>
                    <xdr:row>27</xdr:row>
                    <xdr:rowOff>66675</xdr:rowOff>
                  </from>
                  <to>
                    <xdr:col>11</xdr:col>
                    <xdr:colOff>1552575</xdr:colOff>
                    <xdr:row>30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">
                <anchor moveWithCells="1" sizeWithCells="1">
                  <from>
                    <xdr:col>2</xdr:col>
                    <xdr:colOff>180975</xdr:colOff>
                    <xdr:row>0</xdr:row>
                    <xdr:rowOff>257175</xdr:rowOff>
                  </from>
                  <to>
                    <xdr:col>3</xdr:col>
                    <xdr:colOff>771525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dateListbox">
              <controlPr defaultSize="0" autoLine="0" autoPict="0" macro="[0]!selectDate">
                <anchor moveWithCells="1">
                  <from>
                    <xdr:col>0</xdr:col>
                    <xdr:colOff>742950</xdr:colOff>
                    <xdr:row>13</xdr:row>
                    <xdr:rowOff>133350</xdr:rowOff>
                  </from>
                  <to>
                    <xdr:col>2</xdr:col>
                    <xdr:colOff>9525</xdr:colOff>
                    <xdr:row>17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oadTestDates">
                <anchor moveWithCells="1" sizeWithCells="1">
                  <from>
                    <xdr:col>2</xdr:col>
                    <xdr:colOff>57150</xdr:colOff>
                    <xdr:row>13</xdr:row>
                    <xdr:rowOff>152400</xdr:rowOff>
                  </from>
                  <to>
                    <xdr:col>2</xdr:col>
                    <xdr:colOff>742950</xdr:colOff>
                    <xdr:row>17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1AD7C-5A30-4958-BBC7-47BBF01D63E1}">
  <sheetPr codeName="Sheet2"/>
  <dimension ref="A2:A15"/>
  <sheetViews>
    <sheetView workbookViewId="0">
      <selection activeCell="B1" sqref="B1"/>
    </sheetView>
  </sheetViews>
  <sheetFormatPr defaultRowHeight="15" x14ac:dyDescent="0.25"/>
  <cols>
    <col min="1" max="1" width="13.140625" style="78" customWidth="1"/>
  </cols>
  <sheetData>
    <row r="2" spans="1:1" s="76" customFormat="1" x14ac:dyDescent="0.25">
      <c r="A2" s="78"/>
    </row>
    <row r="3" spans="1:1" s="76" customFormat="1" x14ac:dyDescent="0.25">
      <c r="A3" s="78" t="s">
        <v>49</v>
      </c>
    </row>
    <row r="4" spans="1:1" s="77" customFormat="1" x14ac:dyDescent="0.25">
      <c r="A4" s="79"/>
    </row>
    <row r="5" spans="1:1" s="77" customFormat="1" x14ac:dyDescent="0.25">
      <c r="A5" s="79"/>
    </row>
    <row r="6" spans="1:1" s="77" customFormat="1" x14ac:dyDescent="0.25">
      <c r="A6" s="79"/>
    </row>
    <row r="7" spans="1:1" s="77" customFormat="1" x14ac:dyDescent="0.25">
      <c r="A7" s="79"/>
    </row>
    <row r="8" spans="1:1" s="77" customFormat="1" x14ac:dyDescent="0.25">
      <c r="A8" s="79"/>
    </row>
    <row r="9" spans="1:1" s="77" customFormat="1" x14ac:dyDescent="0.25">
      <c r="A9" s="79"/>
    </row>
    <row r="10" spans="1:1" s="77" customFormat="1" x14ac:dyDescent="0.25">
      <c r="A10" s="79"/>
    </row>
    <row r="11" spans="1:1" s="77" customFormat="1" x14ac:dyDescent="0.25">
      <c r="A11" s="79"/>
    </row>
    <row r="12" spans="1:1" s="77" customFormat="1" x14ac:dyDescent="0.25">
      <c r="A12" s="79"/>
    </row>
    <row r="13" spans="1:1" s="77" customFormat="1" x14ac:dyDescent="0.25">
      <c r="A13" s="79"/>
    </row>
    <row r="14" spans="1:1" s="77" customFormat="1" x14ac:dyDescent="0.25">
      <c r="A14" s="79"/>
    </row>
    <row r="15" spans="1:1" s="77" customFormat="1" x14ac:dyDescent="0.25">
      <c r="A15" s="7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PAUEngineerTemplate</vt:lpstr>
      <vt:lpstr>Data</vt:lpstr>
      <vt:lpstr>localhost</vt:lpstr>
      <vt:lpstr>pumpModel</vt:lpstr>
      <vt:lpstr>pumpNumber</vt:lpstr>
      <vt:lpstr>pumpSerial</vt:lpstr>
      <vt:lpstr>pumpStation</vt:lpstr>
      <vt:lpstr>remoteURL</vt:lpstr>
      <vt:lpstr>testDate</vt:lpstr>
    </vt:vector>
  </TitlesOfParts>
  <Company>City of Mesa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CTHOMPS</dc:creator>
  <cp:lastModifiedBy>Preston Taylor</cp:lastModifiedBy>
  <cp:lastPrinted>2013-12-17T15:13:17Z</cp:lastPrinted>
  <dcterms:created xsi:type="dcterms:W3CDTF">2009-12-21T22:14:30Z</dcterms:created>
  <dcterms:modified xsi:type="dcterms:W3CDTF">2018-07-25T22:10:18Z</dcterms:modified>
</cp:coreProperties>
</file>