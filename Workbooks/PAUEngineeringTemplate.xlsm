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7A95883F-E3A9-4739-8118-4BA9CB8ACE85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  <sheet name="Data" sheetId="37" r:id="rId2"/>
  </sheets>
  <functionGroups builtInGroupCount="19"/>
  <definedNames>
    <definedName name="localhost">PAUEngineerTemplate!$N$16</definedName>
    <definedName name="pumpModel">PAUEngineerTemplate!$E$4</definedName>
    <definedName name="pumpNumber">PAUEngineerTemplate!$B$2</definedName>
    <definedName name="pumpSerial">PAUEngineerTemplate!$E$5</definedName>
    <definedName name="pumpStation">PAUEngineerTemplate!$A$2</definedName>
    <definedName name="remoteURL">PAUEngineerTemplate!$N$15</definedName>
    <definedName name="testDate">PAUEngineerTemplate!$B$19</definedName>
  </definedNames>
  <calcPr calcId="179017"/>
</workbook>
</file>

<file path=xl/calcChain.xml><?xml version="1.0" encoding="utf-8"?>
<calcChain xmlns="http://schemas.openxmlformats.org/spreadsheetml/2006/main">
  <c r="B35" i="36" l="1"/>
  <c r="C35" i="36"/>
  <c r="B36" i="36"/>
  <c r="C36" i="36"/>
  <c r="B37" i="36"/>
  <c r="C37" i="36"/>
  <c r="B38" i="36"/>
  <c r="C38" i="36"/>
  <c r="C33" i="36" l="1"/>
  <c r="C34" i="36" s="1"/>
  <c r="B33" i="36"/>
  <c r="B34" i="36" s="1"/>
  <c r="B39" i="36" l="1"/>
  <c r="C39" i="36"/>
  <c r="E16" i="36" l="1"/>
  <c r="K38" i="36" l="1"/>
  <c r="J38" i="36"/>
  <c r="I38" i="36"/>
  <c r="H38" i="36"/>
  <c r="G38" i="36"/>
  <c r="F38" i="36"/>
  <c r="E38" i="36"/>
  <c r="D38" i="36"/>
  <c r="K37" i="36"/>
  <c r="J37" i="36"/>
  <c r="I37" i="36"/>
  <c r="H37" i="36"/>
  <c r="G37" i="36"/>
  <c r="F37" i="36"/>
  <c r="E37" i="36"/>
  <c r="D37" i="36"/>
  <c r="K36" i="36"/>
  <c r="J36" i="36"/>
  <c r="I36" i="36"/>
  <c r="H36" i="36"/>
  <c r="G36" i="36"/>
  <c r="F36" i="36"/>
  <c r="E36" i="36"/>
  <c r="D36" i="36"/>
  <c r="A36" i="36"/>
  <c r="K35" i="36"/>
  <c r="J35" i="36"/>
  <c r="I35" i="36"/>
  <c r="H35" i="36"/>
  <c r="G35" i="36"/>
  <c r="F35" i="36"/>
  <c r="E35" i="36"/>
  <c r="D35" i="36"/>
  <c r="A35" i="36"/>
  <c r="A23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I33" i="36" l="1"/>
  <c r="I34" i="36" s="1"/>
  <c r="G33" i="36"/>
  <c r="G34" i="36" s="1"/>
  <c r="F33" i="36"/>
  <c r="E33" i="36"/>
  <c r="E34" i="36" s="1"/>
  <c r="O9" i="36"/>
  <c r="O5" i="36"/>
  <c r="O11" i="36"/>
  <c r="N4" i="36"/>
  <c r="O6" i="36"/>
  <c r="O7" i="36"/>
  <c r="O8" i="36"/>
  <c r="K33" i="36"/>
  <c r="O10" i="36"/>
  <c r="O13" i="36"/>
  <c r="J33" i="36"/>
  <c r="J34" i="36" s="1"/>
  <c r="D33" i="36"/>
  <c r="D34" i="36" s="1"/>
  <c r="H33" i="36"/>
  <c r="H34" i="36" s="1"/>
  <c r="O4" i="36"/>
  <c r="N5" i="36"/>
  <c r="N6" i="36"/>
  <c r="N7" i="36"/>
  <c r="N8" i="36"/>
  <c r="N9" i="36"/>
  <c r="N10" i="36"/>
  <c r="N11" i="36"/>
  <c r="N12" i="36"/>
  <c r="N13" i="36"/>
  <c r="H39" i="36" l="1"/>
  <c r="P10" i="36" s="1"/>
  <c r="F34" i="36"/>
  <c r="F39" i="36" s="1"/>
  <c r="P8" i="36" s="1"/>
  <c r="J39" i="36"/>
  <c r="P12" i="36" s="1"/>
  <c r="I39" i="36"/>
  <c r="P11" i="36" s="1"/>
  <c r="G39" i="36"/>
  <c r="P9" i="36" s="1"/>
  <c r="E39" i="36"/>
  <c r="P7" i="36" s="1"/>
  <c r="D39" i="36"/>
  <c r="P6" i="36" s="1"/>
  <c r="P5" i="36"/>
  <c r="P4" i="36"/>
  <c r="K34" i="36"/>
  <c r="K39" i="36" s="1"/>
  <c r="P13" i="36" s="1"/>
</calcChain>
</file>

<file path=xl/sharedStrings.xml><?xml version="1.0" encoding="utf-8"?>
<sst xmlns="http://schemas.openxmlformats.org/spreadsheetml/2006/main" count="84" uniqueCount="79">
  <si>
    <t>Parameter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</si>
  <si>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</si>
  <si>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</si>
  <si>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</si>
  <si>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</si>
  <si>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</si>
  <si>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</si>
  <si>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</si>
  <si>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</si>
  <si>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</si>
  <si>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</si>
  <si>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</si>
  <si>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</si>
  <si>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</si>
  <si>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</si>
  <si>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</si>
  <si>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</si>
  <si>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</si>
  <si>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</si>
  <si>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</si>
  <si>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</si>
  <si>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</si>
  <si>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</si>
  <si>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</si>
  <si>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</si>
  <si>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</si>
  <si>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</si>
  <si>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</si>
  <si>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</si>
  <si>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</si>
  <si>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</si>
  <si>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</si>
  <si>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</si>
  <si>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</si>
  <si>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</si>
  <si>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</si>
  <si>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</si>
  <si>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</si>
  <si>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</si>
  <si>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</si>
  <si>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</si>
  <si>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</si>
  <si>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</si>
  <si>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</si>
  <si>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</si>
  <si>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</si>
  <si>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</si>
  <si>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</si>
  <si>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</si>
  <si>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</si>
  <si>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</si>
  <si>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</si>
  <si>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</si>
  <si>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</si>
  <si>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</si>
  <si>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</si>
  <si>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</si>
  <si>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</si>
  <si>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</si>
  <si>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</si>
  <si>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</si>
  <si>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</si>
  <si>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</si>
  <si>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</si>
  <si>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</si>
  <si>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</si>
  <si>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</si>
  <si>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</si>
  <si>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</si>
  <si>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No:</t>
  </si>
  <si>
    <t>Pump Station</t>
  </si>
  <si>
    <t>Prameter</t>
  </si>
  <si>
    <t>Test Date</t>
  </si>
  <si>
    <t>testDates</t>
  </si>
  <si>
    <t>27FKH</t>
  </si>
  <si>
    <t>78639-9-1</t>
  </si>
  <si>
    <t>SBDWPS</t>
  </si>
  <si>
    <t>[{"id":1,"pump_id":1,"test_number":1,"test_date":"2018-04-16T06:00:00.000Z","speed_percent":100,"res_level_ft":"23.05","pmp_flg_psi":"133.2","header_psi":"58.5","dis_flow_mgd":"0.0","amps_1":"59.0","amps_2":"59.0","amps_3":"59.0","volts_1":4070,"volts_2":4070,"volts_3":4070}]</t>
  </si>
  <si>
    <t>2018-04-16T06:00:00.000Z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</si>
</sst>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,##0.0"/>
    <numFmt numFmtId="167" formatCode="yyyymmdd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  <font>
      <sz val="11"/>
      <color indexed="5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5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0" fontId="0" fillId="0" borderId="0" xfId="0"/>
    <xf numFmtId="0" fontId="0" fillId="3" borderId="1" xfId="0" applyFill="1" applyBorder="1"/>
    <xf numFmtId="0" fontId="0" fillId="0" borderId="0" xfId="0" applyFill="1"/>
    <xf numFmtId="0" fontId="0" fillId="0" borderId="1" xfId="0" applyFill="1" applyBorder="1"/>
    <xf numFmtId="167" fontId="0" fillId="0" borderId="0" xfId="0" applyNumberFormat="1" applyFill="1" applyBorder="1" applyAlignment="1" applyProtection="1">
      <alignment horizontal="center"/>
      <protection locked="0"/>
    </xf>
    <xf numFmtId="1" fontId="1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/>
    <xf numFmtId="14" fontId="1" fillId="0" borderId="0" xfId="0" applyNumberFormat="1" applyFont="1" applyFill="1" applyBorder="1" applyAlignment="1">
      <alignment horizontal="center"/>
    </xf>
    <xf numFmtId="0" fontId="0" fillId="0" borderId="0" xfId="0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5" borderId="16" xfId="0" applyNumberFormat="1" applyFill="1" applyBorder="1" applyAlignment="1" applyProtection="1">
      <alignment horizontal="center"/>
      <protection locked="0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  <c:pt idx="0">
                  <c:v>0</c:v>
                </c:pt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4070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noThreeD="1" sel="2" val="0">
  <itemLst>
    <item val="2015-08-30"/>
    <item val="2018-04-16"/>
  </itemLst>
</formControlPr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27</xdr:row>
          <xdr:rowOff>66675</xdr:rowOff>
        </xdr:from>
        <xdr:to>
          <xdr:col>11</xdr:col>
          <xdr:colOff>1552575</xdr:colOff>
          <xdr:row>30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257175</xdr:rowOff>
        </xdr:from>
        <xdr:to>
          <xdr:col>3</xdr:col>
          <xdr:colOff>771525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13</xdr:row>
          <xdr:rowOff>133350</xdr:rowOff>
        </xdr:from>
        <xdr:to>
          <xdr:col>2</xdr:col>
          <xdr:colOff>9525</xdr:colOff>
          <xdr:row>17</xdr:row>
          <xdr:rowOff>123825</xdr:rowOff>
        </xdr:to>
        <xdr:sp macro="" textlink="">
          <xdr:nvSpPr>
            <xdr:cNvPr id="1027" name="dateListbox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53827</xdr:colOff>
          <xdr:row>13</xdr:row>
          <xdr:rowOff>157052</xdr:rowOff>
        </xdr:from>
        <xdr:to>
          <xdr:col>2</xdr:col>
          <xdr:colOff>739627</xdr:colOff>
          <xdr:row>17</xdr:row>
          <xdr:rowOff>90377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4711AFC-50AF-4E67-B9D9-EBDB96ED1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Load Test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4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4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4"/>
  <sheetViews>
    <sheetView tabSelected="1" zoomScale="86" zoomScaleNormal="100" workbookViewId="0">
      <selection activeCell="R28" sqref="R28"/>
    </sheetView>
  </sheetViews>
  <sheetFormatPr defaultRowHeight="15" x14ac:dyDescent="0.25"/>
  <cols>
    <col min="1" max="1" width="27.7109375" customWidth="1"/>
    <col min="2" max="2" width="13.5703125" customWidth="1"/>
    <col min="3" max="3" width="11.570312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3.85546875" customWidth="1"/>
    <col min="13" max="13" width="18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s="64" customFormat="1" ht="21.75" thickBot="1" x14ac:dyDescent="0.4">
      <c r="A1" s="5" t="s">
        <v>70</v>
      </c>
      <c r="B1" s="70" t="s">
        <v>69</v>
      </c>
    </row>
    <row r="2" spans="1:18" ht="21" x14ac:dyDescent="0.35">
      <c r="A2" s="76" t="s">
        <v>76</v>
      </c>
      <c r="B2" s="75">
        <v>4</v>
      </c>
      <c r="C2" s="71"/>
      <c r="D2" s="4"/>
      <c r="E2" s="4"/>
      <c r="G2" s="4"/>
      <c r="H2" s="86" t="s">
        <v>10</v>
      </c>
      <c r="I2" s="87"/>
      <c r="J2" s="87"/>
      <c r="K2" s="88"/>
      <c r="M2" s="86" t="str">
        <f>E19&amp;" "&amp;B18&amp;" Transposed for Model Use"</f>
        <v>Test Pump Curve  Transposed for Model Use</v>
      </c>
      <c r="N2" s="87"/>
      <c r="O2" s="87"/>
      <c r="P2" s="88"/>
    </row>
    <row r="3" spans="1:18" ht="16.5" thickBot="1" x14ac:dyDescent="0.3">
      <c r="A3" s="6"/>
      <c r="B3" s="14"/>
      <c r="D3" s="8" t="s">
        <v>15</v>
      </c>
      <c r="E3" s="13"/>
      <c r="G3" s="4"/>
      <c r="H3" s="39" t="s">
        <v>8</v>
      </c>
      <c r="I3" s="10" t="s">
        <v>21</v>
      </c>
      <c r="J3" s="2" t="s">
        <v>9</v>
      </c>
      <c r="K3" s="40" t="s">
        <v>47</v>
      </c>
      <c r="M3" s="45" t="s">
        <v>49</v>
      </c>
      <c r="N3" s="31" t="s">
        <v>4</v>
      </c>
      <c r="O3" s="31" t="s">
        <v>2</v>
      </c>
      <c r="P3" s="46" t="s">
        <v>7</v>
      </c>
      <c r="Q3" s="58"/>
    </row>
    <row r="4" spans="1:18" ht="15.75" customHeight="1" x14ac:dyDescent="0.25">
      <c r="A4" s="89" t="s">
        <v>11</v>
      </c>
      <c r="B4" s="90"/>
      <c r="D4" s="9" t="s">
        <v>17</v>
      </c>
      <c r="E4" s="65" t="s">
        <v>74</v>
      </c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VLOOKUP(N$3,$A$20:$K$39,1+$M4,FALSE)</f>
        <v>Suction Type?</v>
      </c>
      <c r="O4" s="32">
        <f t="shared" si="1"/>
        <v>0</v>
      </c>
      <c r="P4" s="48" t="e">
        <f t="shared" si="1"/>
        <v>#VALUE!</v>
      </c>
      <c r="Q4" s="59"/>
    </row>
    <row r="5" spans="1:18" ht="15.75" customHeight="1" x14ac:dyDescent="0.25">
      <c r="A5" s="25" t="s">
        <v>12</v>
      </c>
      <c r="B5" s="29">
        <f>B6*1440/1000000</f>
        <v>0</v>
      </c>
      <c r="D5" s="9" t="s">
        <v>57</v>
      </c>
      <c r="E5" s="66" t="s">
        <v>75</v>
      </c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8" ht="16.5" customHeight="1" x14ac:dyDescent="0.25">
      <c r="A6" s="25" t="s">
        <v>13</v>
      </c>
      <c r="B6" s="34"/>
      <c r="C6" s="21"/>
      <c r="D6" s="9" t="s">
        <v>19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8" ht="15.75" thickBot="1" x14ac:dyDescent="0.3">
      <c r="A7" s="26" t="s">
        <v>14</v>
      </c>
      <c r="B7" s="35"/>
      <c r="D7" s="8" t="s">
        <v>16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8" ht="15.75" thickBot="1" x14ac:dyDescent="0.3">
      <c r="D8" s="8" t="s">
        <v>18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 s="59"/>
    </row>
    <row r="9" spans="1:18" s="15" customFormat="1" ht="15" customHeight="1" x14ac:dyDescent="0.25">
      <c r="A9" s="89" t="s">
        <v>53</v>
      </c>
      <c r="B9" s="90"/>
      <c r="D9" s="9" t="s">
        <v>20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25">
      <c r="A10" s="53" t="s">
        <v>43</v>
      </c>
      <c r="B10" s="57"/>
      <c r="D10" s="8" t="s">
        <v>37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25">
      <c r="A11" s="55" t="s">
        <v>41</v>
      </c>
      <c r="B11" s="57"/>
      <c r="C11" s="21"/>
      <c r="D11" s="8" t="s">
        <v>54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25">
      <c r="A12" s="55" t="s">
        <v>44</v>
      </c>
      <c r="B12" s="54" t="s">
        <v>46</v>
      </c>
      <c r="D12" s="8" t="s">
        <v>55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.75" thickBot="1" x14ac:dyDescent="0.3">
      <c r="A13" s="56" t="s">
        <v>30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25">
      <c r="C14" s="21"/>
      <c r="D14" s="91" t="s">
        <v>56</v>
      </c>
      <c r="E14" s="92"/>
      <c r="G14" s="21"/>
    </row>
    <row r="15" spans="1:18" x14ac:dyDescent="0.25">
      <c r="A15" s="73" t="s">
        <v>73</v>
      </c>
      <c r="C15" s="21"/>
      <c r="D15" s="10" t="s">
        <v>12</v>
      </c>
      <c r="E15" s="61"/>
      <c r="G15" s="21"/>
      <c r="J15" s="38" t="s">
        <v>50</v>
      </c>
      <c r="K15" s="33"/>
      <c r="N15" s="68"/>
      <c r="O15" s="67"/>
      <c r="P15" s="67"/>
      <c r="Q15" s="67"/>
    </row>
    <row r="16" spans="1:18" x14ac:dyDescent="0.25">
      <c r="C16" s="21"/>
      <c r="D16" s="10" t="s">
        <v>13</v>
      </c>
      <c r="E16" s="28">
        <f>E15*1000000/1440</f>
        <v>0</v>
      </c>
      <c r="G16" s="21"/>
      <c r="J16" s="38" t="s">
        <v>51</v>
      </c>
      <c r="K16" s="28"/>
      <c r="N16" s="68"/>
      <c r="O16" s="67"/>
      <c r="P16" s="67"/>
      <c r="Q16" s="67"/>
    </row>
    <row r="17" spans="1:15" ht="15.75" x14ac:dyDescent="0.25">
      <c r="A17" s="1"/>
      <c r="J17" s="38" t="s">
        <v>52</v>
      </c>
      <c r="K17" s="17"/>
    </row>
    <row r="18" spans="1:15" ht="15.75" customHeight="1" x14ac:dyDescent="0.25">
      <c r="A18" s="16"/>
      <c r="B18" s="81"/>
      <c r="C18" s="82"/>
      <c r="D18" s="83"/>
      <c r="F18" s="21"/>
    </row>
    <row r="19" spans="1:15" s="69" customFormat="1" ht="15.75" customHeight="1" x14ac:dyDescent="0.25">
      <c r="A19" s="16" t="s">
        <v>72</v>
      </c>
      <c r="B19" s="94">
        <v>2</v>
      </c>
      <c r="C19" s="84"/>
      <c r="D19" s="83"/>
      <c r="E19" s="27" t="s">
        <v>48</v>
      </c>
      <c r="F19" s="21"/>
    </row>
    <row r="20" spans="1:15" x14ac:dyDescent="0.25">
      <c r="A20" s="2" t="s">
        <v>0</v>
      </c>
      <c r="B20" s="74" t="s">
        <v>22</v>
      </c>
      <c r="C20" s="74" t="s">
        <v>23</v>
      </c>
      <c r="D20" s="74" t="s">
        <v>24</v>
      </c>
      <c r="E20" s="2" t="s">
        <v>25</v>
      </c>
      <c r="F20" s="2" t="s">
        <v>26</v>
      </c>
      <c r="G20" s="2" t="s">
        <v>27</v>
      </c>
      <c r="H20" s="2" t="s">
        <v>28</v>
      </c>
      <c r="I20" s="2" t="s">
        <v>29</v>
      </c>
      <c r="J20" s="2" t="s">
        <v>39</v>
      </c>
      <c r="K20" s="2" t="s">
        <v>40</v>
      </c>
    </row>
    <row r="21" spans="1:15" x14ac:dyDescent="0.25">
      <c r="A21" s="3" t="s">
        <v>1</v>
      </c>
      <c r="B21" s="60" t="s">
        <v>78</v>
      </c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15" x14ac:dyDescent="0.25">
      <c r="A22" s="3" t="s">
        <v>38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15" ht="14.25" customHeight="1" x14ac:dyDescent="0.25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7"/>
      <c r="O23" s="72" t="s">
        <v>77</v>
      </c>
    </row>
    <row r="24" spans="1:15" x14ac:dyDescent="0.25">
      <c r="A24" s="3" t="s">
        <v>42</v>
      </c>
      <c r="B24" s="61">
        <v>133.19999999999999</v>
      </c>
      <c r="C24" s="61"/>
      <c r="D24" s="61"/>
      <c r="E24" s="61"/>
      <c r="F24" s="61"/>
      <c r="G24" s="61"/>
      <c r="H24" s="61"/>
      <c r="I24" s="61"/>
      <c r="J24" s="61"/>
      <c r="K24" s="61"/>
      <c r="L24" s="7"/>
      <c r="O24" s="72"/>
    </row>
    <row r="25" spans="1:15" x14ac:dyDescent="0.25">
      <c r="A25" s="3" t="s">
        <v>45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L25" s="7"/>
    </row>
    <row r="26" spans="1:15" x14ac:dyDescent="0.25">
      <c r="A26" s="3" t="s">
        <v>2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</row>
    <row r="27" spans="1:15" x14ac:dyDescent="0.25">
      <c r="A27" s="3" t="s">
        <v>31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</row>
    <row r="28" spans="1:15" x14ac:dyDescent="0.25">
      <c r="A28" s="3" t="s">
        <v>32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</row>
    <row r="29" spans="1:15" x14ac:dyDescent="0.25">
      <c r="A29" s="3" t="s">
        <v>33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</row>
    <row r="30" spans="1:15" x14ac:dyDescent="0.25">
      <c r="A30" s="3" t="s">
        <v>34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</row>
    <row r="31" spans="1:15" x14ac:dyDescent="0.25">
      <c r="A31" s="3" t="s">
        <v>35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</row>
    <row r="32" spans="1:15" x14ac:dyDescent="0.25">
      <c r="A32" s="3" t="s">
        <v>36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</row>
    <row r="33" spans="1:15" x14ac:dyDescent="0.25">
      <c r="A33" s="3" t="s">
        <v>3</v>
      </c>
      <c r="B33" s="18">
        <f t="shared" ref="B33:C33" si="3">IF(ISERR((B36*B35*$E$11*1.732)/1000)=FALSE,(B36*B35*$E$11*1.732)/1000,"")</f>
        <v>0</v>
      </c>
      <c r="C33" s="18" t="str">
        <f t="shared" si="3"/>
        <v/>
      </c>
      <c r="D33" s="18" t="str">
        <f t="shared" ref="D33:K33" si="4">IF(ISERR((D36*D35*$E$11*1.732)/1000)=FALSE,(D36*D35*$E$11*1.732)/1000,"")</f>
        <v/>
      </c>
      <c r="E33" s="18" t="str">
        <f t="shared" si="4"/>
        <v/>
      </c>
      <c r="F33" s="18" t="str">
        <f t="shared" si="4"/>
        <v/>
      </c>
      <c r="G33" s="18" t="str">
        <f t="shared" si="4"/>
        <v/>
      </c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</row>
    <row r="34" spans="1:15" x14ac:dyDescent="0.25">
      <c r="A34" s="3" t="s">
        <v>6</v>
      </c>
      <c r="B34" s="19">
        <f t="shared" ref="B34:C34" si="5">IF(B33&lt;&gt;"",1.341*B33,"")</f>
        <v>0</v>
      </c>
      <c r="C34" s="19" t="str">
        <f t="shared" si="5"/>
        <v/>
      </c>
      <c r="D34" s="19" t="str">
        <f t="shared" ref="D34:K34" si="6">IF(D33&lt;&gt;"",1.341*D33,"")</f>
        <v/>
      </c>
      <c r="E34" s="19" t="str">
        <f t="shared" si="6"/>
        <v/>
      </c>
      <c r="F34" s="19" t="str">
        <f t="shared" si="6"/>
        <v/>
      </c>
      <c r="G34" s="19" t="str">
        <f t="shared" si="6"/>
        <v/>
      </c>
      <c r="H34" s="19" t="str">
        <f t="shared" si="6"/>
        <v/>
      </c>
      <c r="I34" s="19" t="str">
        <f t="shared" si="6"/>
        <v/>
      </c>
      <c r="J34" s="19" t="str">
        <f t="shared" si="6"/>
        <v/>
      </c>
      <c r="K34" s="19" t="str">
        <f t="shared" si="6"/>
        <v/>
      </c>
    </row>
    <row r="35" spans="1:15" x14ac:dyDescent="0.25">
      <c r="A35" s="3" t="str">
        <f>"Ave. Amps "  &amp; B18</f>
        <v xml:space="preserve">Ave. Amps </v>
      </c>
      <c r="B35" s="19">
        <f t="shared" ref="B35:C35" si="7">IF(B27&lt;&gt;"",AVERAGE(B27:B29),"")</f>
        <v>59</v>
      </c>
      <c r="C35" s="19" t="str">
        <f t="shared" si="7"/>
        <v/>
      </c>
      <c r="D35" s="19" t="str">
        <f t="shared" ref="D35:K35" si="8">IF(D27&lt;&gt;"",AVERAGE(D27:D29),"")</f>
        <v/>
      </c>
      <c r="E35" s="19" t="str">
        <f t="shared" si="8"/>
        <v/>
      </c>
      <c r="F35" s="19" t="str">
        <f t="shared" si="8"/>
        <v/>
      </c>
      <c r="G35" s="19" t="str">
        <f t="shared" si="8"/>
        <v/>
      </c>
      <c r="H35" s="19" t="str">
        <f t="shared" si="8"/>
        <v/>
      </c>
      <c r="I35" s="19" t="str">
        <f t="shared" si="8"/>
        <v/>
      </c>
      <c r="J35" s="19" t="str">
        <f t="shared" si="8"/>
        <v/>
      </c>
      <c r="K35" s="19" t="str">
        <f t="shared" si="8"/>
        <v/>
      </c>
    </row>
    <row r="36" spans="1:15" x14ac:dyDescent="0.25">
      <c r="A36" s="24" t="str">
        <f>"Ave. Volts "&amp; B18</f>
        <v xml:space="preserve">Ave. Volts </v>
      </c>
      <c r="B36" s="23">
        <f t="shared" ref="B36:C36" si="9">IF(ISERR(AVERAGE(B30:B32))=FALSE,AVERAGE(B30:B32),"")</f>
        <v>4070</v>
      </c>
      <c r="C36" s="23" t="str">
        <f t="shared" si="9"/>
        <v/>
      </c>
      <c r="D36" s="23" t="str">
        <f t="shared" ref="D36:K36" si="10">IF(ISERR(AVERAGE(D30:D32))=FALSE,AVERAGE(D30:D32),"")</f>
        <v/>
      </c>
      <c r="E36" s="23" t="str">
        <f t="shared" si="10"/>
        <v/>
      </c>
      <c r="F36" s="23" t="str">
        <f t="shared" si="10"/>
        <v/>
      </c>
      <c r="G36" s="23" t="str">
        <f t="shared" si="10"/>
        <v/>
      </c>
      <c r="H36" s="23" t="str">
        <f t="shared" si="10"/>
        <v/>
      </c>
      <c r="I36" s="23" t="str">
        <f t="shared" si="10"/>
        <v/>
      </c>
      <c r="J36" s="23" t="str">
        <f t="shared" si="10"/>
        <v/>
      </c>
      <c r="K36" s="23" t="str">
        <f t="shared" si="10"/>
        <v/>
      </c>
    </row>
    <row r="37" spans="1:15" x14ac:dyDescent="0.25">
      <c r="A37" s="3" t="s">
        <v>4</v>
      </c>
      <c r="B37" s="18" t="str">
        <f t="shared" ref="B37:C37" si="11">IF(B24="","",IF(LEFT($A$23,5)="Error","Suction Type?",IF(LEFT($A$23,5)="Reser",(B24*2.31+$B$10)-(B23+$B$11),IF(LEFT($A$23,5)="Sucti",(B24*2.31+$B$10)-((B23*2.31)+$B$12)))))</f>
        <v>Suction Type?</v>
      </c>
      <c r="C37" s="18" t="str">
        <f t="shared" si="11"/>
        <v/>
      </c>
      <c r="D37" s="18" t="str">
        <f t="shared" ref="D37:K37" si="12">IF(D24="","",IF(LEFT($A$23,5)="Error","Suction Type?",IF(LEFT($A$23,5)="Reser",(D24*2.31+$B$10)-(D23+$B$11),IF(LEFT($A$23,5)="Sucti",(D24*2.31+$B$10)-((D23*2.31)+$B$12)))))</f>
        <v/>
      </c>
      <c r="E37" s="18" t="str">
        <f t="shared" si="12"/>
        <v/>
      </c>
      <c r="F37" s="18" t="str">
        <f t="shared" si="12"/>
        <v/>
      </c>
      <c r="G37" s="18" t="str">
        <f t="shared" si="12"/>
        <v/>
      </c>
      <c r="H37" s="18" t="str">
        <f t="shared" si="12"/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</row>
    <row r="38" spans="1:15" x14ac:dyDescent="0.25">
      <c r="A38" s="3" t="s">
        <v>5</v>
      </c>
      <c r="B38" s="19">
        <f t="shared" ref="B38:C38" si="13">IF(B26="","",B26*1000000/1440)</f>
        <v>0</v>
      </c>
      <c r="C38" s="19" t="str">
        <f t="shared" si="13"/>
        <v/>
      </c>
      <c r="D38" s="19" t="str">
        <f t="shared" ref="D38:K38" si="14">IF(D26="","",D26*1000000/1440)</f>
        <v/>
      </c>
      <c r="E38" s="19" t="str">
        <f t="shared" si="14"/>
        <v/>
      </c>
      <c r="F38" s="19" t="str">
        <f t="shared" si="14"/>
        <v/>
      </c>
      <c r="G38" s="19" t="str">
        <f t="shared" si="14"/>
        <v/>
      </c>
      <c r="H38" s="19" t="str">
        <f t="shared" si="14"/>
        <v/>
      </c>
      <c r="I38" s="19" t="str">
        <f t="shared" si="14"/>
        <v/>
      </c>
      <c r="J38" s="19" t="str">
        <f t="shared" si="14"/>
        <v/>
      </c>
      <c r="K38" s="19" t="str">
        <f t="shared" si="14"/>
        <v/>
      </c>
    </row>
    <row r="39" spans="1:15" x14ac:dyDescent="0.25">
      <c r="A39" s="3" t="s">
        <v>7</v>
      </c>
      <c r="B39" s="20" t="e">
        <f>IF(B33&lt;&gt;"",B37*B38/3960/B34,"")</f>
        <v>#VALUE!</v>
      </c>
      <c r="C39" s="20" t="str">
        <f t="shared" ref="C39" si="15">IF(C33&lt;&gt;"",C37*C38/3960/C34,"")</f>
        <v/>
      </c>
      <c r="D39" s="20" t="str">
        <f t="shared" ref="D39:K39" si="16">IF(D33&lt;&gt;"",D37*D38/3960/D34,"")</f>
        <v/>
      </c>
      <c r="E39" s="20" t="str">
        <f t="shared" si="16"/>
        <v/>
      </c>
      <c r="F39" s="20" t="str">
        <f t="shared" si="16"/>
        <v/>
      </c>
      <c r="G39" s="20" t="str">
        <f t="shared" si="16"/>
        <v/>
      </c>
      <c r="H39" s="20" t="str">
        <f t="shared" si="16"/>
        <v/>
      </c>
      <c r="I39" s="20" t="str">
        <f t="shared" si="16"/>
        <v/>
      </c>
      <c r="J39" s="20" t="str">
        <f t="shared" si="16"/>
        <v/>
      </c>
      <c r="K39" s="20" t="str">
        <f t="shared" si="16"/>
        <v/>
      </c>
    </row>
    <row r="41" spans="1:15" x14ac:dyDescent="0.25">
      <c r="B41" s="22"/>
    </row>
    <row r="42" spans="1:15" x14ac:dyDescent="0.25">
      <c r="B42" s="22"/>
    </row>
    <row r="44" spans="1:15" x14ac:dyDescent="0.25">
      <c r="N44" s="93" t="s">
        <v>68</v>
      </c>
      <c r="O44" s="93"/>
    </row>
    <row r="45" spans="1:15" x14ac:dyDescent="0.25">
      <c r="N45" s="85" t="s">
        <v>60</v>
      </c>
      <c r="O45" s="85"/>
    </row>
    <row r="46" spans="1:15" x14ac:dyDescent="0.25">
      <c r="N46" s="85" t="s">
        <v>58</v>
      </c>
      <c r="O46" s="85"/>
    </row>
    <row r="47" spans="1:15" x14ac:dyDescent="0.25">
      <c r="N47" s="85" t="s">
        <v>63</v>
      </c>
      <c r="O47" s="85"/>
    </row>
    <row r="48" spans="1:15" x14ac:dyDescent="0.25">
      <c r="N48" s="85" t="s">
        <v>64</v>
      </c>
      <c r="O48" s="85"/>
    </row>
    <row r="49" spans="14:15" x14ac:dyDescent="0.25">
      <c r="N49" s="85" t="s">
        <v>65</v>
      </c>
      <c r="O49" s="85"/>
    </row>
    <row r="50" spans="14:15" x14ac:dyDescent="0.25">
      <c r="N50" s="85" t="s">
        <v>66</v>
      </c>
      <c r="O50" s="85"/>
    </row>
    <row r="51" spans="14:15" x14ac:dyDescent="0.25">
      <c r="N51" s="85" t="s">
        <v>67</v>
      </c>
      <c r="O51" s="85"/>
    </row>
    <row r="52" spans="14:15" x14ac:dyDescent="0.25">
      <c r="N52" s="85" t="s">
        <v>62</v>
      </c>
      <c r="O52" s="85"/>
    </row>
    <row r="53" spans="14:15" x14ac:dyDescent="0.25">
      <c r="N53" s="85" t="s">
        <v>61</v>
      </c>
      <c r="O53" s="85"/>
    </row>
    <row r="54" spans="14:15" x14ac:dyDescent="0.25">
      <c r="N54" s="85" t="s">
        <v>59</v>
      </c>
      <c r="O54" s="85"/>
    </row>
  </sheetData>
  <sheetProtection selectLockedCells="1"/>
  <dataConsolidate/>
  <mergeCells count="16">
    <mergeCell ref="H2:K2"/>
    <mergeCell ref="M2:P2"/>
    <mergeCell ref="A4:B4"/>
    <mergeCell ref="A9:B9"/>
    <mergeCell ref="N53:O53"/>
    <mergeCell ref="D14:E14"/>
    <mergeCell ref="N44:O44"/>
    <mergeCell ref="N54:O54"/>
    <mergeCell ref="N45:O45"/>
    <mergeCell ref="N46:O46"/>
    <mergeCell ref="N47:O47"/>
    <mergeCell ref="N48:O48"/>
    <mergeCell ref="N49:O49"/>
    <mergeCell ref="N50:O50"/>
    <mergeCell ref="N51:O51"/>
    <mergeCell ref="N52:O52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pageMargins left="0.47" right="0.34" top="0.28999999999999998" bottom="0.17" header="0.26" footer="0.17"/>
  <pageSetup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PumpData">
                <anchor moveWithCells="1">
                  <from>
                    <xdr:col>11</xdr:col>
                    <xdr:colOff>95250</xdr:colOff>
                    <xdr:row>27</xdr:row>
                    <xdr:rowOff>66675</xdr:rowOff>
                  </from>
                  <to>
                    <xdr:col>11</xdr:col>
                    <xdr:colOff>1552575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0</xdr:row>
                    <xdr:rowOff>257175</xdr:rowOff>
                  </from>
                  <to>
                    <xdr:col>3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ateListbox">
              <controlPr defaultSize="0" autoLine="0" autoPict="0" macro="[0]!selectDate">
                <anchor moveWithCells="1">
                  <from>
                    <xdr:col>0</xdr:col>
                    <xdr:colOff>742950</xdr:colOff>
                    <xdr:row>13</xdr:row>
                    <xdr:rowOff>133350</xdr:rowOff>
                  </from>
                  <to>
                    <xdr:col>2</xdr:col>
                    <xdr:colOff>9525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adTestDates">
                <anchor moveWithCells="1" sizeWithCells="1">
                  <from>
                    <xdr:col>2</xdr:col>
                    <xdr:colOff>57150</xdr:colOff>
                    <xdr:row>13</xdr:row>
                    <xdr:rowOff>152400</xdr:rowOff>
                  </from>
                  <to>
                    <xdr:col>2</xdr:col>
                    <xdr:colOff>742950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AD7C-5A30-4958-BBC7-47BBF01D63E1}">
  <sheetPr codeName="Sheet2"/>
  <dimension ref="A2:A15"/>
  <sheetViews>
    <sheetView workbookViewId="0">
      <selection activeCell="B1" sqref="B1"/>
    </sheetView>
  </sheetViews>
  <sheetFormatPr defaultRowHeight="15" x14ac:dyDescent="0.25"/>
  <cols>
    <col min="1" max="1" width="13.140625" style="79" customWidth="1"/>
  </cols>
  <sheetData>
    <row r="2" spans="1:1" s="77" customFormat="1" x14ac:dyDescent="0.25">
      <c r="A2" s="79"/>
    </row>
    <row r="3" spans="1:1" s="77" customFormat="1" x14ac:dyDescent="0.25">
      <c r="A3" s="79" t="s">
        <v>71</v>
      </c>
    </row>
    <row r="4" spans="1:1" s="78" customFormat="1" x14ac:dyDescent="0.25">
      <c r="A4" s="80"/>
    </row>
    <row r="5" spans="1:1" s="78" customFormat="1" x14ac:dyDescent="0.25">
      <c r="A5" s="80"/>
    </row>
    <row r="6" spans="1:1" s="78" customFormat="1" x14ac:dyDescent="0.25">
      <c r="A6" s="80"/>
    </row>
    <row r="7" spans="1:1" s="78" customFormat="1" x14ac:dyDescent="0.25">
      <c r="A7" s="80"/>
    </row>
    <row r="8" spans="1:1" s="78" customFormat="1" x14ac:dyDescent="0.25">
      <c r="A8" s="80"/>
    </row>
    <row r="9" spans="1:1" s="78" customFormat="1" x14ac:dyDescent="0.25">
      <c r="A9" s="80"/>
    </row>
    <row r="10" spans="1:1" s="78" customFormat="1" x14ac:dyDescent="0.25">
      <c r="A10" s="80"/>
    </row>
    <row r="11" spans="1:1" s="78" customFormat="1" x14ac:dyDescent="0.25">
      <c r="A11" s="80"/>
    </row>
    <row r="12" spans="1:1" s="78" customFormat="1" x14ac:dyDescent="0.25">
      <c r="A12" s="80"/>
    </row>
    <row r="13" spans="1:1" s="78" customFormat="1" x14ac:dyDescent="0.25">
      <c r="A13" s="80"/>
    </row>
    <row r="14" spans="1:1" s="78" customFormat="1" x14ac:dyDescent="0.25">
      <c r="A14" s="80"/>
    </row>
    <row r="15" spans="1:1" s="78" customFormat="1" x14ac:dyDescent="0.25">
      <c r="A15" s="8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PAUEngineerTemplate</vt:lpstr>
      <vt:lpstr>Data</vt:lpstr>
      <vt:lpstr>localhost</vt:lpstr>
      <vt:lpstr>pumpModel</vt:lpstr>
      <vt:lpstr>pumpNumber</vt:lpstr>
      <vt:lpstr>pumpSerial</vt:lpstr>
      <vt:lpstr>pumpStation</vt:lpstr>
      <vt:lpstr>remoteURL</vt:lpstr>
      <vt:lpstr>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2018-07-25T06:27:58Z</dcterms:modified>
</cp:coreProperties>
</file>