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E1977388-BF02-4B80-9D09-6B710E5DD1AF}" xr6:coauthVersionLast="34" xr6:coauthVersionMax="34" xr10:uidLastSave="{00000000-0000-0000-0000-000000000000}"/>
  <bookViews>
    <workbookView xWindow="0" yWindow="0" windowWidth="28800" windowHeight="12372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remoteURL">PAUEngineerTemplate!$N$15</definedName>
    <definedName name="testDate">PAUEngineerTemplate!$B$19</definedName>
  </definedNames>
  <calcPr calcId="179017"/>
</workbook>
</file>

<file path=xl/calcChain.xml><?xml version="1.0" encoding="utf-8"?>
<calcChain xmlns="http://schemas.openxmlformats.org/spreadsheetml/2006/main">
  <c r="B35" i="36" l="1"/>
  <c r="C35" i="36"/>
  <c r="B36" i="36"/>
  <c r="C36" i="36"/>
  <c r="B37" i="36"/>
  <c r="B39" i="36" s="1"/>
  <c r="C37" i="36"/>
  <c r="B38" i="36"/>
  <c r="C38" i="36"/>
  <c r="C33" i="36" l="1"/>
  <c r="C34" i="36" s="1"/>
  <c r="B33" i="36"/>
  <c r="B34" i="36" s="1"/>
  <c r="C39" i="36" l="1"/>
  <c r="E16" i="36" l="1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7" i="36"/>
  <c r="P9" i="36"/>
  <c r="P11" i="36"/>
  <c r="G34" i="36"/>
  <c r="P5" i="36" l="1"/>
  <c r="P4" i="36"/>
  <c r="K34" i="36"/>
</calcChain>
</file>

<file path=xl/sharedStrings.xml><?xml version="1.0" encoding="utf-8"?>
<sst xmlns="http://schemas.openxmlformats.org/spreadsheetml/2006/main" count="87" uniqueCount="81">
  <si>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</si>
  <si>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</si>
  <si>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</si>
  <si>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</si>
  <si>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</si>
  <si>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</si>
  <si>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</si>
  <si>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</si>
  <si>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</si>
  <si>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</si>
  <si>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</si>
  <si>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</si>
  <si>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</si>
  <si>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</si>
  <si>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</si>
  <si>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</si>
  <si>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</si>
  <si>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</si>
  <si>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</si>
  <si>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</si>
  <si>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</si>
  <si>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</si>
  <si>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</si>
  <si>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</si>
  <si>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</si>
  <si>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</si>
  <si>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</si>
  <si>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</si>
  <si>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</si>
  <si>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</si>
  <si>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</si>
  <si>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</si>
  <si>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</si>
  <si>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</si>
  <si>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</si>
  <si>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</si>
  <si>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</si>
  <si>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</si>
  <si>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</si>
  <si>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</si>
  <si>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</si>
  <si>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</si>
  <si>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</si>
  <si>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</si>
  <si>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</si>
  <si>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</si>
  <si>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</si>
  <si>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</si>
  <si>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</si>
  <si>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</si>
  <si>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</si>
  <si>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</si>
  <si>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</si>
  <si>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</si>
  <si>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</si>
  <si>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</si>
  <si>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</si>
  <si>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</si>
  <si>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</si>
  <si>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</si>
  <si>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</si>
  <si>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</si>
  <si>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</si>
  <si>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</si>
  <si>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</si>
  <si>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</si>
  <si>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</si>
  <si>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</si>
  <si>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</si>
  <si>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</si>
  <si>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</si>
  <si>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</si>
  <si>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</si>
  <si>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22BLK</t>
  </si>
  <si>
    <t>78639-1-3</t>
  </si>
  <si>
    <t>SBFFPS</t>
  </si>
  <si>
    <t xml:space="preserve"> </t>
  </si>
  <si>
    <t>Prameter</t>
  </si>
  <si>
    <t>2018-02-15T07:00:00.000Z</t>
  </si>
  <si>
    <t>Test Date</t>
  </si>
  <si>
    <t>testDates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</si>
</sst>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yyyy\-mm\-dd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0" fontId="0" fillId="0" borderId="0" xfId="0"/>
    <xf numFmtId="0" fontId="0" fillId="3" borderId="1" xfId="0" applyFill="1" applyBorder="1"/>
    <xf numFmtId="0" fontId="0" fillId="0" borderId="0" xfId="0" applyFill="1"/>
    <xf numFmtId="0" fontId="0" fillId="0" borderId="1" xfId="0" applyFill="1" applyBorder="1"/>
    <xf numFmtId="167" fontId="0" fillId="0" borderId="0" xfId="0" applyNumberFormat="1" applyFill="1" applyBorder="1" applyAlignment="1" applyProtection="1">
      <alignment horizontal="center"/>
      <protection locked="0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/>
    <xf numFmtId="166" fontId="0" fillId="5" borderId="16" xfId="0" applyNumberFormat="1" applyFill="1" applyBorder="1" applyAlignment="1" applyProtection="1">
      <alignment horizontal="center"/>
      <protection locked="0"/>
    </xf>
    <xf numFmtId="14" fontId="1" fillId="0" borderId="0" xfId="0" applyNumberFormat="1" applyFont="1" applyFill="1" applyBorder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4070</c:v>
                </c:pt>
                <c:pt idx="1">
                  <c:v>4070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59</c:v>
                </c:pt>
                <c:pt idx="1">
                  <c:v>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27</xdr:row>
          <xdr:rowOff>68580</xdr:rowOff>
        </xdr:from>
        <xdr:to>
          <xdr:col>13</xdr:col>
          <xdr:colOff>861060</xdr:colOff>
          <xdr:row>30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0</xdr:row>
          <xdr:rowOff>259080</xdr:rowOff>
        </xdr:from>
        <xdr:to>
          <xdr:col>3</xdr:col>
          <xdr:colOff>769620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13</xdr:row>
          <xdr:rowOff>137160</xdr:rowOff>
        </xdr:from>
        <xdr:to>
          <xdr:col>2</xdr:col>
          <xdr:colOff>7620</xdr:colOff>
          <xdr:row>17</xdr:row>
          <xdr:rowOff>121920</xdr:rowOff>
        </xdr:to>
        <xdr:sp macro="" textlink="">
          <xdr:nvSpPr>
            <xdr:cNvPr id="1027" name="dateList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topLeftCell="A10" zoomScale="86" zoomScaleNormal="100" workbookViewId="0">
      <selection activeCell="M20" sqref="M20"/>
    </sheetView>
  </sheetViews>
  <sheetFormatPr defaultRowHeight="14.4" x14ac:dyDescent="0.3"/>
  <cols>
    <col min="1" max="1" width="27.6640625" customWidth="1"/>
    <col min="2" max="2" width="13.5546875" customWidth="1"/>
    <col min="3" max="3" width="11.5546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8" s="64" customFormat="1" ht="21.6" thickBot="1" x14ac:dyDescent="0.45">
      <c r="A1" s="5" t="s">
        <v>70</v>
      </c>
      <c r="B1" s="70" t="s">
        <v>69</v>
      </c>
    </row>
    <row r="2" spans="1:18" ht="21" x14ac:dyDescent="0.4">
      <c r="A2" s="76" t="s">
        <v>75</v>
      </c>
      <c r="B2" s="75">
        <v>1</v>
      </c>
      <c r="C2" s="71"/>
      <c r="D2" s="4"/>
      <c r="E2" s="4"/>
      <c r="G2" s="4"/>
      <c r="H2" s="87" t="s">
        <v>10</v>
      </c>
      <c r="I2" s="88"/>
      <c r="J2" s="88"/>
      <c r="K2" s="89"/>
      <c r="M2" s="87" t="str">
        <f>E19&amp;" "&amp;B18&amp;" Transposed for Model Use"</f>
        <v>Test Pump Curve  Transposed for Model Use</v>
      </c>
      <c r="N2" s="88"/>
      <c r="O2" s="88"/>
      <c r="P2" s="89"/>
    </row>
    <row r="3" spans="1:18" ht="16.2" thickBot="1" x14ac:dyDescent="0.35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3">
      <c r="A4" s="90" t="s">
        <v>11</v>
      </c>
      <c r="B4" s="91"/>
      <c r="D4" s="9" t="s">
        <v>17</v>
      </c>
      <c r="E4" s="65" t="s">
        <v>73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0</v>
      </c>
      <c r="P4" s="48" t="e">
        <f t="shared" si="1"/>
        <v>#VALUE!</v>
      </c>
      <c r="Q4" s="59"/>
    </row>
    <row r="5" spans="1:18" ht="15.75" customHeight="1" x14ac:dyDescent="0.3">
      <c r="A5" s="25" t="s">
        <v>12</v>
      </c>
      <c r="B5" s="29">
        <f>B6*1440/1000000</f>
        <v>0</v>
      </c>
      <c r="D5" s="9" t="s">
        <v>57</v>
      </c>
      <c r="E5" s="66" t="s">
        <v>74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0</v>
      </c>
      <c r="P5" s="48" t="e">
        <f t="shared" si="1"/>
        <v>#VALUE!</v>
      </c>
      <c r="Q5" s="59"/>
    </row>
    <row r="6" spans="1:18" ht="16.5" customHeight="1" x14ac:dyDescent="0.3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" thickBot="1" x14ac:dyDescent="0.35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" thickBot="1" x14ac:dyDescent="0.35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3">
      <c r="A9" s="90" t="s">
        <v>53</v>
      </c>
      <c r="B9" s="91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3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3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3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" thickBot="1" x14ac:dyDescent="0.35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3">
      <c r="C14" s="21"/>
      <c r="D14" s="92" t="s">
        <v>56</v>
      </c>
      <c r="E14" s="93"/>
      <c r="G14" s="21"/>
    </row>
    <row r="15" spans="1:18" x14ac:dyDescent="0.3">
      <c r="A15" s="73" t="s">
        <v>80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3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6" x14ac:dyDescent="0.3">
      <c r="A17" s="1"/>
      <c r="J17" s="38" t="s">
        <v>52</v>
      </c>
      <c r="K17" s="17"/>
    </row>
    <row r="18" spans="1:15" ht="15.75" customHeight="1" x14ac:dyDescent="0.3">
      <c r="A18" s="16"/>
      <c r="B18" s="81"/>
      <c r="C18" s="82"/>
      <c r="D18" s="83"/>
      <c r="F18" s="21"/>
    </row>
    <row r="19" spans="1:15" s="69" customFormat="1" ht="15.75" customHeight="1" x14ac:dyDescent="0.3">
      <c r="A19" s="16" t="s">
        <v>79</v>
      </c>
      <c r="B19" s="84">
        <v>43464</v>
      </c>
      <c r="C19" s="85"/>
      <c r="D19" s="83"/>
      <c r="E19" s="27" t="s">
        <v>48</v>
      </c>
      <c r="F19" s="21"/>
    </row>
    <row r="20" spans="1:15" x14ac:dyDescent="0.3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3">
      <c r="A21" s="3" t="s">
        <v>1</v>
      </c>
      <c r="B21" s="60" t="s">
        <v>78</v>
      </c>
      <c r="C21" s="60" t="s">
        <v>78</v>
      </c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3">
      <c r="A22" s="3" t="s">
        <v>38</v>
      </c>
      <c r="B22" s="61">
        <v>100</v>
      </c>
      <c r="C22" s="61">
        <v>100</v>
      </c>
      <c r="D22" s="61"/>
      <c r="E22" s="61"/>
      <c r="F22" s="61"/>
      <c r="G22" s="61"/>
      <c r="H22" s="61"/>
      <c r="I22" s="61"/>
      <c r="J22" s="61"/>
      <c r="K22" s="61"/>
      <c r="L22" s="7"/>
    </row>
    <row r="23" spans="1:15" ht="14.25" customHeight="1" x14ac:dyDescent="0.3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 t="s">
        <v>76</v>
      </c>
      <c r="E23" s="62"/>
      <c r="F23" s="62"/>
      <c r="G23" s="62"/>
      <c r="H23" s="62"/>
      <c r="I23" s="62"/>
      <c r="J23" s="62"/>
      <c r="K23" s="62"/>
      <c r="L23" s="7"/>
      <c r="O23" s="72"/>
    </row>
    <row r="24" spans="1:15" x14ac:dyDescent="0.3">
      <c r="A24" s="3" t="s">
        <v>42</v>
      </c>
      <c r="B24" s="61">
        <v>133.19999999999999</v>
      </c>
      <c r="C24" s="61">
        <v>133.19999999999999</v>
      </c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3">
      <c r="A25" s="3" t="s">
        <v>45</v>
      </c>
      <c r="B25" s="61">
        <v>58.5</v>
      </c>
      <c r="C25" s="61">
        <v>58.5</v>
      </c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3">
      <c r="A26" s="3" t="s">
        <v>2</v>
      </c>
      <c r="B26" s="63">
        <v>0</v>
      </c>
      <c r="C26" s="63">
        <v>0</v>
      </c>
      <c r="D26" s="63"/>
      <c r="E26" s="63"/>
      <c r="F26" s="63"/>
      <c r="G26" s="63"/>
      <c r="H26" s="63"/>
      <c r="I26" s="63"/>
      <c r="J26" s="63"/>
      <c r="K26" s="63"/>
    </row>
    <row r="27" spans="1:15" x14ac:dyDescent="0.3">
      <c r="A27" s="3" t="s">
        <v>31</v>
      </c>
      <c r="B27" s="61">
        <v>59</v>
      </c>
      <c r="C27" s="61">
        <v>59</v>
      </c>
      <c r="D27" s="61"/>
      <c r="E27" s="61"/>
      <c r="F27" s="61"/>
      <c r="G27" s="61"/>
      <c r="H27" s="61"/>
      <c r="I27" s="61"/>
      <c r="J27" s="61"/>
      <c r="K27" s="61"/>
    </row>
    <row r="28" spans="1:15" x14ac:dyDescent="0.3">
      <c r="A28" s="3" t="s">
        <v>32</v>
      </c>
      <c r="B28" s="61">
        <v>59</v>
      </c>
      <c r="C28" s="61">
        <v>59</v>
      </c>
      <c r="D28" s="61"/>
      <c r="E28" s="61"/>
      <c r="F28" s="61"/>
      <c r="G28" s="61"/>
      <c r="H28" s="61"/>
      <c r="I28" s="61"/>
      <c r="J28" s="61"/>
      <c r="K28" s="61"/>
    </row>
    <row r="29" spans="1:15" x14ac:dyDescent="0.3">
      <c r="A29" s="3" t="s">
        <v>33</v>
      </c>
      <c r="B29" s="61">
        <v>59</v>
      </c>
      <c r="C29" s="61">
        <v>59</v>
      </c>
      <c r="D29" s="61"/>
      <c r="E29" s="61"/>
      <c r="F29" s="61"/>
      <c r="G29" s="61"/>
      <c r="H29" s="61"/>
      <c r="I29" s="61"/>
      <c r="J29" s="61"/>
      <c r="K29" s="61"/>
    </row>
    <row r="30" spans="1:15" x14ac:dyDescent="0.3">
      <c r="A30" s="3" t="s">
        <v>34</v>
      </c>
      <c r="B30" s="61">
        <v>4070</v>
      </c>
      <c r="C30" s="61">
        <v>4070</v>
      </c>
      <c r="D30" s="61"/>
      <c r="E30" s="61"/>
      <c r="F30" s="61"/>
      <c r="G30" s="61"/>
      <c r="H30" s="61"/>
      <c r="I30" s="61"/>
      <c r="J30" s="61"/>
      <c r="K30" s="61"/>
    </row>
    <row r="31" spans="1:15" x14ac:dyDescent="0.3">
      <c r="A31" s="3" t="s">
        <v>35</v>
      </c>
      <c r="B31" s="61">
        <v>4070</v>
      </c>
      <c r="C31" s="61">
        <v>4070</v>
      </c>
      <c r="D31" s="61"/>
      <c r="E31" s="61"/>
      <c r="F31" s="61"/>
      <c r="G31" s="61"/>
      <c r="H31" s="61"/>
      <c r="I31" s="61"/>
      <c r="J31" s="61"/>
      <c r="K31" s="61"/>
    </row>
    <row r="32" spans="1:15" x14ac:dyDescent="0.3">
      <c r="A32" s="3" t="s">
        <v>36</v>
      </c>
      <c r="B32" s="61">
        <v>4070</v>
      </c>
      <c r="C32" s="61">
        <v>4070</v>
      </c>
      <c r="D32" s="61"/>
      <c r="E32" s="61"/>
      <c r="F32" s="61"/>
      <c r="G32" s="61"/>
      <c r="H32" s="61"/>
      <c r="I32" s="61"/>
      <c r="J32" s="61"/>
      <c r="K32" s="61"/>
    </row>
    <row r="33" spans="1:15" x14ac:dyDescent="0.3">
      <c r="A33" s="3" t="s">
        <v>3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 t="str">
        <f t="shared" ref="D33:K33" si="4">IF(ISERR((D36*D35*$E$11*1.732)/1000)=FALSE,(D36*D35*$E$11*1.732)/1000,"")</f>
        <v/>
      </c>
      <c r="E33" s="18" t="str">
        <f t="shared" si="4"/>
        <v/>
      </c>
      <c r="F33" s="18" t="str">
        <f t="shared" si="4"/>
        <v/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5" x14ac:dyDescent="0.3">
      <c r="A34" s="3" t="s">
        <v>6</v>
      </c>
      <c r="B34" s="19">
        <f t="shared" ref="B34:C34" si="5">IF(B33&lt;&gt;"",1.341*B33,"")</f>
        <v>0</v>
      </c>
      <c r="C34" s="19">
        <f t="shared" si="5"/>
        <v>0</v>
      </c>
      <c r="D34" s="19" t="str">
        <f t="shared" ref="D34:K34" si="6">IF(D33&lt;&gt;"",1.341*D33,"")</f>
        <v/>
      </c>
      <c r="E34" s="19" t="str">
        <f t="shared" si="6"/>
        <v/>
      </c>
      <c r="F34" s="19" t="str">
        <f t="shared" si="6"/>
        <v/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5" x14ac:dyDescent="0.3">
      <c r="A35" s="3" t="str">
        <f>"Ave. Amps "  &amp; B18</f>
        <v xml:space="preserve">Ave. Amps </v>
      </c>
      <c r="B35" s="19">
        <f t="shared" ref="B35:C35" si="7">IF(B27&lt;&gt;"",AVERAGE(B27:B29),"")</f>
        <v>59</v>
      </c>
      <c r="C35" s="19">
        <f t="shared" si="7"/>
        <v>59</v>
      </c>
      <c r="D35" s="19" t="str">
        <f t="shared" ref="D35:K35" si="8">IF(D27&lt;&gt;"",AVERAGE(D27:D29),"")</f>
        <v/>
      </c>
      <c r="E35" s="19" t="str">
        <f t="shared" si="8"/>
        <v/>
      </c>
      <c r="F35" s="19" t="str">
        <f t="shared" si="8"/>
        <v/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5" x14ac:dyDescent="0.3">
      <c r="A36" s="24" t="str">
        <f>"Ave. Volts "&amp; B18</f>
        <v xml:space="preserve">Ave. Volts </v>
      </c>
      <c r="B36" s="23">
        <f t="shared" ref="B36:C36" si="9">IF(ISERR(AVERAGE(B30:B32))=FALSE,AVERAGE(B30:B32),"")</f>
        <v>4070</v>
      </c>
      <c r="C36" s="23">
        <f t="shared" si="9"/>
        <v>4070</v>
      </c>
      <c r="D36" s="23" t="str">
        <f t="shared" ref="D36:K36" si="10">IF(ISERR(AVERAGE(D30:D32))=FALSE,AVERAGE(D30:D32),"")</f>
        <v/>
      </c>
      <c r="E36" s="23" t="str">
        <f t="shared" si="10"/>
        <v/>
      </c>
      <c r="F36" s="23" t="str">
        <f t="shared" si="10"/>
        <v/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5" x14ac:dyDescent="0.3">
      <c r="A37" s="3" t="s">
        <v>4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 t="shared" si="11"/>
        <v>Suction Type?</v>
      </c>
      <c r="D37" s="18" t="str">
        <f t="shared" ref="D37:K37" si="12">IF(D24="","",IF(LEFT($A$23,5)="Error","Suction Type?",IF(LEFT($A$23,5)="Reser",(D24*2.31+$B$10)-(D23+$B$11),IF(LEFT($A$23,5)="Sucti",(D24*2.31+$B$10)-((D23*2.31)+$B$12)))))</f>
        <v/>
      </c>
      <c r="E37" s="18" t="str">
        <f t="shared" si="12"/>
        <v/>
      </c>
      <c r="F37" s="18" t="str">
        <f t="shared" si="12"/>
        <v/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5" x14ac:dyDescent="0.3">
      <c r="A38" s="3" t="s">
        <v>5</v>
      </c>
      <c r="B38" s="19">
        <f t="shared" ref="B38:C38" si="13">IF(B26="","",B26*1000000/1440)</f>
        <v>0</v>
      </c>
      <c r="C38" s="19">
        <f t="shared" si="13"/>
        <v>0</v>
      </c>
      <c r="D38" s="19" t="str">
        <f t="shared" ref="D38:K38" si="14">IF(D26="","",D26*1000000/1440)</f>
        <v/>
      </c>
      <c r="E38" s="19" t="str">
        <f t="shared" si="14"/>
        <v/>
      </c>
      <c r="F38" s="19" t="str">
        <f t="shared" si="14"/>
        <v/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5" x14ac:dyDescent="0.3">
      <c r="A39" s="3" t="s">
        <v>7</v>
      </c>
      <c r="B39" s="20" t="e">
        <f>IF(B33&lt;&gt;"",B37*B38/3960/B34,"")</f>
        <v>#VALUE!</v>
      </c>
      <c r="C39" s="20" t="e">
        <f t="shared" ref="C39" si="15">IF(C33&lt;&gt;"",C37*C38/3960/C34,"")</f>
        <v>#VALUE!</v>
      </c>
      <c r="D39" s="20" t="str">
        <f t="shared" ref="D39:K39" si="16">IF(D33&lt;&gt;"",D37*D38/3960/D34,"")</f>
        <v/>
      </c>
      <c r="E39" s="20" t="str">
        <f t="shared" si="16"/>
        <v/>
      </c>
      <c r="F39" s="20" t="str">
        <f t="shared" si="16"/>
        <v/>
      </c>
      <c r="G39" s="20" t="str">
        <f t="shared" si="16"/>
        <v/>
      </c>
      <c r="H39" s="20" t="str">
        <f t="shared" si="16"/>
        <v/>
      </c>
      <c r="I39" s="20" t="str">
        <f t="shared" si="16"/>
        <v/>
      </c>
      <c r="J39" s="20" t="str">
        <f t="shared" si="16"/>
        <v/>
      </c>
      <c r="K39" s="20" t="str">
        <f t="shared" si="16"/>
        <v/>
      </c>
    </row>
    <row r="41" spans="1:15" x14ac:dyDescent="0.3">
      <c r="B41" s="22"/>
    </row>
    <row r="42" spans="1:15" x14ac:dyDescent="0.3">
      <c r="B42" s="22"/>
    </row>
    <row r="44" spans="1:15" x14ac:dyDescent="0.3">
      <c r="N44" s="94" t="s">
        <v>68</v>
      </c>
      <c r="O44" s="94"/>
    </row>
    <row r="45" spans="1:15" x14ac:dyDescent="0.3">
      <c r="N45" s="86" t="s">
        <v>60</v>
      </c>
      <c r="O45" s="86"/>
    </row>
    <row r="46" spans="1:15" x14ac:dyDescent="0.3">
      <c r="N46" s="86" t="s">
        <v>58</v>
      </c>
      <c r="O46" s="86"/>
    </row>
    <row r="47" spans="1:15" x14ac:dyDescent="0.3">
      <c r="N47" s="86" t="s">
        <v>63</v>
      </c>
      <c r="O47" s="86"/>
    </row>
    <row r="48" spans="1:15" x14ac:dyDescent="0.3">
      <c r="N48" s="86" t="s">
        <v>64</v>
      </c>
      <c r="O48" s="86"/>
    </row>
    <row r="49" spans="14:15" x14ac:dyDescent="0.3">
      <c r="N49" s="86" t="s">
        <v>65</v>
      </c>
      <c r="O49" s="86"/>
    </row>
    <row r="50" spans="14:15" x14ac:dyDescent="0.3">
      <c r="N50" s="86" t="s">
        <v>66</v>
      </c>
      <c r="O50" s="86"/>
    </row>
    <row r="51" spans="14:15" x14ac:dyDescent="0.3">
      <c r="N51" s="86" t="s">
        <v>67</v>
      </c>
      <c r="O51" s="86"/>
    </row>
    <row r="52" spans="14:15" x14ac:dyDescent="0.3">
      <c r="N52" s="86" t="s">
        <v>62</v>
      </c>
      <c r="O52" s="86"/>
    </row>
    <row r="53" spans="14:15" x14ac:dyDescent="0.3">
      <c r="N53" s="86" t="s">
        <v>61</v>
      </c>
      <c r="O53" s="86"/>
    </row>
    <row r="54" spans="14:15" x14ac:dyDescent="0.3">
      <c r="N54" s="86" t="s">
        <v>59</v>
      </c>
      <c r="O54" s="86"/>
    </row>
  </sheetData>
  <sheetProtection selectLockedCells="1"/>
  <dataConsolidate/>
  <mergeCells count="16">
    <mergeCell ref="H2:K2"/>
    <mergeCell ref="M2:P2"/>
    <mergeCell ref="A4:B4"/>
    <mergeCell ref="A9:B9"/>
    <mergeCell ref="N53:O53"/>
    <mergeCell ref="D14:E14"/>
    <mergeCell ref="N44:O44"/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11</xdr:col>
                    <xdr:colOff>99060</xdr:colOff>
                    <xdr:row>27</xdr:row>
                    <xdr:rowOff>68580</xdr:rowOff>
                  </from>
                  <to>
                    <xdr:col>13</xdr:col>
                    <xdr:colOff>861060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182880</xdr:colOff>
                    <xdr:row>0</xdr:row>
                    <xdr:rowOff>259080</xdr:rowOff>
                  </from>
                  <to>
                    <xdr:col>3</xdr:col>
                    <xdr:colOff>769620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dateListbox">
              <controlPr defaultSize="0" autoLine="0" autoPict="0" macro="[0]!loadTestDates">
                <anchor moveWithCells="1">
                  <from>
                    <xdr:col>0</xdr:col>
                    <xdr:colOff>746760</xdr:colOff>
                    <xdr:row>13</xdr:row>
                    <xdr:rowOff>137160</xdr:rowOff>
                  </from>
                  <to>
                    <xdr:col>2</xdr:col>
                    <xdr:colOff>7620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4.4" x14ac:dyDescent="0.3"/>
  <cols>
    <col min="1" max="1" width="13.109375" style="79" customWidth="1"/>
  </cols>
  <sheetData>
    <row r="2" spans="1:1" s="77" customFormat="1" x14ac:dyDescent="0.3">
      <c r="A2" s="79"/>
    </row>
    <row r="3" spans="1:1" s="77" customFormat="1" x14ac:dyDescent="0.3">
      <c r="A3" s="79" t="s">
        <v>77</v>
      </c>
    </row>
    <row r="4" spans="1:1" s="78" customFormat="1" x14ac:dyDescent="0.3">
      <c r="A4" s="80"/>
    </row>
    <row r="5" spans="1:1" s="78" customFormat="1" x14ac:dyDescent="0.3">
      <c r="A5" s="80"/>
    </row>
    <row r="6" spans="1:1" s="78" customFormat="1" x14ac:dyDescent="0.3">
      <c r="A6" s="80"/>
    </row>
    <row r="7" spans="1:1" s="78" customFormat="1" x14ac:dyDescent="0.3">
      <c r="A7" s="80"/>
    </row>
    <row r="8" spans="1:1" s="78" customFormat="1" x14ac:dyDescent="0.3">
      <c r="A8" s="80"/>
    </row>
    <row r="9" spans="1:1" s="78" customFormat="1" x14ac:dyDescent="0.3">
      <c r="A9" s="80"/>
    </row>
    <row r="10" spans="1:1" s="78" customFormat="1" x14ac:dyDescent="0.3">
      <c r="A10" s="80"/>
    </row>
    <row r="11" spans="1:1" s="78" customFormat="1" x14ac:dyDescent="0.3">
      <c r="A11" s="80"/>
    </row>
    <row r="12" spans="1:1" s="78" customFormat="1" x14ac:dyDescent="0.3">
      <c r="A12" s="80"/>
    </row>
    <row r="13" spans="1:1" s="78" customFormat="1" x14ac:dyDescent="0.3">
      <c r="A13" s="80"/>
    </row>
    <row r="14" spans="1:1" s="78" customFormat="1" x14ac:dyDescent="0.3">
      <c r="A14" s="80"/>
    </row>
    <row r="15" spans="1:1" s="78" customFormat="1" x14ac:dyDescent="0.3">
      <c r="A15" s="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remoteURL</vt:lpstr>
      <vt:lpstr>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2018-07-22T03:07:25Z</dcterms:modified>
</cp:coreProperties>
</file>