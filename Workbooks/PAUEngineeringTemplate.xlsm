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5A24A279-30B2-4067-B00B-6B9795A7683B}" xr6:coauthVersionLast="34" xr6:coauthVersionMax="34" xr10:uidLastSave="{00000000-0000-0000-0000-000000000000}"/>
  <bookViews>
    <workbookView xWindow="0" yWindow="0" windowWidth="28800" windowHeight="12372" tabRatio="926" xr2:uid="{00000000-000D-0000-FFFF-FFFF00000000}"/>
  </bookViews>
  <sheets>
    <sheet name="PAUEngineerTemplate" sheetId="36" r:id="rId1"/>
  </sheets>
  <definedNames>
    <definedName name="https___pump_assessment_utility.herokuapp.com">PAUEngineerTemplate!$N$15</definedName>
    <definedName name="localhost">PAUEngineerTemplate!$N$16</definedName>
  </definedNames>
  <calcPr calcId="179017"/>
</workbook>
</file>

<file path=xl/calcChain.xml><?xml version="1.0" encoding="utf-8"?>
<calcChain xmlns="http://schemas.openxmlformats.org/spreadsheetml/2006/main">
  <c r="E16" i="36" l="1"/>
  <c r="K38" i="36" l="1"/>
  <c r="J38" i="36"/>
  <c r="I38" i="36"/>
  <c r="H38" i="36"/>
  <c r="G38" i="36"/>
  <c r="F38" i="36"/>
  <c r="E38" i="36"/>
  <c r="D38" i="36"/>
  <c r="C38" i="36"/>
  <c r="B38" i="36"/>
  <c r="K37" i="36"/>
  <c r="J37" i="36"/>
  <c r="I37" i="36"/>
  <c r="H37" i="36"/>
  <c r="G37" i="36"/>
  <c r="F37" i="36"/>
  <c r="E37" i="36"/>
  <c r="D37" i="36"/>
  <c r="C37" i="36"/>
  <c r="B37" i="36"/>
  <c r="K36" i="36"/>
  <c r="J36" i="36"/>
  <c r="I36" i="36"/>
  <c r="H36" i="36"/>
  <c r="G36" i="36"/>
  <c r="F36" i="36"/>
  <c r="E36" i="36"/>
  <c r="D36" i="36"/>
  <c r="C36" i="36"/>
  <c r="C33" i="36" s="1"/>
  <c r="C39" i="36" s="1"/>
  <c r="B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C35" i="36"/>
  <c r="B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B33" i="36"/>
  <c r="B39" i="36" s="1"/>
  <c r="P4" i="36" s="1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5" i="36"/>
  <c r="P7" i="36"/>
  <c r="P9" i="36"/>
  <c r="P11" i="36"/>
  <c r="C34" i="36"/>
  <c r="G34" i="36"/>
  <c r="B34" i="36" l="1"/>
  <c r="K34" i="36"/>
</calcChain>
</file>

<file path=xl/sharedStrings.xml><?xml version="1.0" encoding="utf-8"?>
<sst xmlns="http://schemas.openxmlformats.org/spreadsheetml/2006/main" count="84" uniqueCount="79">
  <si>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</si>
  <si>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</si>
  <si>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</si>
  <si>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</si>
  <si>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</si>
  <si>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</si>
  <si>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</si>
  <si>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</si>
  <si>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</si>
  <si>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</si>
  <si>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</si>
  <si>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</si>
  <si>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</si>
  <si>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</si>
  <si>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</si>
  <si>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</si>
  <si>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</si>
  <si>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</si>
  <si>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</si>
  <si>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</si>
  <si>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</si>
  <si>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</si>
  <si>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</si>
  <si>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</si>
  <si>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</si>
  <si>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</si>
  <si>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</si>
  <si>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</si>
  <si>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</si>
  <si>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</si>
  <si>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</si>
  <si>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</si>
  <si>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</si>
  <si>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</si>
  <si>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</si>
  <si>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</si>
  <si>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</si>
  <si>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</si>
  <si>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</si>
  <si>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</si>
  <si>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</si>
  <si>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</si>
  <si>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</si>
  <si>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</si>
  <si>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</si>
  <si>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</si>
  <si>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</si>
  <si>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</si>
  <si>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</si>
  <si>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</si>
  <si>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</si>
  <si>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</si>
  <si>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</si>
  <si>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</si>
  <si>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</si>
  <si>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</si>
  <si>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</si>
  <si>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</si>
  <si>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</si>
  <si>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</si>
  <si>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</si>
  <si>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</si>
  <si>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</si>
  <si>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</si>
  <si>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</si>
  <si>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</si>
  <si>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</si>
  <si>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</si>
  <si>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</si>
  <si>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</si>
  <si>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</si>
  <si>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</si>
  <si>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</si>
  <si>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round trip to retrieval model complete</t>
  </si>
  <si>
    <t>Date Start:</t>
  </si>
  <si>
    <t>Start Date</t>
  </si>
  <si>
    <t>End Date</t>
  </si>
  <si>
    <t>YEAR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</si>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</sst>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7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5" borderId="1" xfId="0" applyNumberForma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0" fillId="5" borderId="1" xfId="0" applyFill="1" applyBorder="1"/>
    <xf numFmtId="0" fontId="3" fillId="5" borderId="1" xfId="0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365760</xdr:colOff>
          <xdr:row>29</xdr:row>
          <xdr:rowOff>152400</xdr:rowOff>
        </xdr:from>
        <xdr:to>
          <xdr:col>15</xdr:col>
          <xdr:colOff>121920</xdr:colOff>
          <xdr:row>33</xdr:row>
          <xdr:rowOff>-1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0</xdr:row>
          <xdr:rowOff>259080</xdr:rowOff>
        </xdr:from>
        <xdr:to>
          <xdr:col>3</xdr:col>
          <xdr:colOff>769620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topLeftCell="A10" zoomScale="86" zoomScaleNormal="100" workbookViewId="0">
      <selection activeCell="N22" sqref="N22"/>
    </sheetView>
  </sheetViews>
  <sheetFormatPr defaultRowHeight="14.4" x14ac:dyDescent="0.3"/>
  <cols>
    <col min="1" max="1" width="27.6640625" customWidth="1"/>
    <col min="2" max="2" width="13.5546875" customWidth="1"/>
    <col min="3" max="3" width="11.5546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8" s="64" customFormat="1" ht="21.6" thickBot="1" x14ac:dyDescent="0.45">
      <c r="A1" s="5" t="s">
        <v>70</v>
      </c>
      <c r="B1" s="70" t="s">
        <v>69</v>
      </c>
    </row>
    <row r="2" spans="1:18" ht="21" x14ac:dyDescent="0.4">
      <c r="A2" s="85"/>
      <c r="B2" s="86"/>
      <c r="C2" s="71"/>
      <c r="D2" s="4"/>
      <c r="E2" s="4"/>
      <c r="G2" s="4"/>
      <c r="H2" s="72" t="s">
        <v>10</v>
      </c>
      <c r="I2" s="73"/>
      <c r="J2" s="73"/>
      <c r="K2" s="74"/>
      <c r="M2" s="72" t="str">
        <f>E19&amp;" "&amp;B18&amp;" Transposed for Model Use"</f>
        <v>Test Pump Curve  Transposed for Model Use</v>
      </c>
      <c r="N2" s="73"/>
      <c r="O2" s="73"/>
      <c r="P2" s="74"/>
    </row>
    <row r="3" spans="1:18" ht="16.2" thickBot="1" x14ac:dyDescent="0.35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3">
      <c r="A4" s="75" t="s">
        <v>11</v>
      </c>
      <c r="B4" s="76"/>
      <c r="D4" s="9" t="s">
        <v>17</v>
      </c>
      <c r="E4" s="65"/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>VLOOKUP(N$3,$A$20:$K$39,1+$M4,FALSE)</f>
        <v/>
      </c>
      <c r="O4" s="32">
        <f>VLOOKUP(O$3,$A$20:$K$39,1+$M4,FALSE)</f>
        <v>0</v>
      </c>
      <c r="P4" s="48" t="str">
        <f>VLOOKUP(P$3,$A$20:$K$39,1+$M4,FALSE)</f>
        <v/>
      </c>
      <c r="Q4" s="59"/>
    </row>
    <row r="5" spans="1:18" ht="15.75" customHeight="1" x14ac:dyDescent="0.3">
      <c r="A5" s="25" t="s">
        <v>12</v>
      </c>
      <c r="B5" s="29">
        <f>B6*1440/1000000</f>
        <v>0</v>
      </c>
      <c r="D5" s="9" t="s">
        <v>57</v>
      </c>
      <c r="E5" s="66"/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>VLOOKUP(N$3,$A$20:$K$39,1+$M5,FALSE)</f>
        <v/>
      </c>
      <c r="O5" s="32">
        <f>VLOOKUP(O$3,$A$20:$K$39,1+$M5,FALSE)</f>
        <v>0</v>
      </c>
      <c r="P5" s="48" t="str">
        <f>VLOOKUP(P$3,$A$20:$K$39,1+$M5,FALSE)</f>
        <v/>
      </c>
      <c r="Q5" s="59"/>
    </row>
    <row r="6" spans="1:18" ht="16.5" customHeight="1" x14ac:dyDescent="0.3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>VLOOKUP(N$3,$A$20:$K$39,1+$M6,FALSE)</f>
        <v/>
      </c>
      <c r="O6" s="32">
        <f>VLOOKUP(O$3,$A$20:$K$39,1+$M6,FALSE)</f>
        <v>0</v>
      </c>
      <c r="P6" s="48" t="str">
        <f>VLOOKUP(P$3,$A$20:$K$39,1+$M6,FALSE)</f>
        <v/>
      </c>
      <c r="Q6" s="59"/>
    </row>
    <row r="7" spans="1:18" ht="15" thickBot="1" x14ac:dyDescent="0.35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>VLOOKUP(N$3,$A$20:$K$39,1+$M7,FALSE)</f>
        <v/>
      </c>
      <c r="O7" s="32">
        <f>VLOOKUP(O$3,$A$20:$K$39,1+$M7,FALSE)</f>
        <v>0</v>
      </c>
      <c r="P7" s="48" t="str">
        <f>VLOOKUP(P$3,$A$20:$K$39,1+$M7,FALSE)</f>
        <v/>
      </c>
      <c r="Q7" s="59"/>
    </row>
    <row r="8" spans="1:18" ht="15" thickBot="1" x14ac:dyDescent="0.35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>VLOOKUP(N$3,$A$20:$K$39,1+$M8,FALSE)</f>
        <v/>
      </c>
      <c r="O8" s="32">
        <f>VLOOKUP(O$3,$A$20:$K$39,1+$M8,FALSE)</f>
        <v>0</v>
      </c>
      <c r="P8" s="48" t="str">
        <f>VLOOKUP(P$3,$A$20:$K$39,1+$M8,FALSE)</f>
        <v/>
      </c>
      <c r="Q8" s="59"/>
    </row>
    <row r="9" spans="1:18" s="15" customFormat="1" ht="15" customHeight="1" x14ac:dyDescent="0.3">
      <c r="A9" s="75" t="s">
        <v>53</v>
      </c>
      <c r="B9" s="76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>VLOOKUP(N$3,$A$20:$K$39,1+$M9,FALSE)</f>
        <v/>
      </c>
      <c r="O9" s="32">
        <f>VLOOKUP(O$3,$A$20:$K$39,1+$M9,FALSE)</f>
        <v>0</v>
      </c>
      <c r="P9" s="48" t="str">
        <f>VLOOKUP(P$3,$A$20:$K$39,1+$M9,FALSE)</f>
        <v/>
      </c>
      <c r="Q9"/>
      <c r="R9"/>
    </row>
    <row r="10" spans="1:18" x14ac:dyDescent="0.3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>VLOOKUP(N$3,$A$20:$K$39,1+$M10,FALSE)</f>
        <v/>
      </c>
      <c r="O10" s="32">
        <f>VLOOKUP(O$3,$A$20:$K$39,1+$M10,FALSE)</f>
        <v>0</v>
      </c>
      <c r="P10" s="48" t="str">
        <f>VLOOKUP(P$3,$A$20:$K$39,1+$M10,FALSE)</f>
        <v/>
      </c>
    </row>
    <row r="11" spans="1:18" x14ac:dyDescent="0.3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1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>VLOOKUP(N$3,$A$20:$K$39,1+$M11,FALSE)</f>
        <v/>
      </c>
      <c r="O11" s="32">
        <f>VLOOKUP(O$3,$A$20:$K$39,1+$M11,FALSE)</f>
        <v>0</v>
      </c>
      <c r="P11" s="48" t="str">
        <f>VLOOKUP(P$3,$A$20:$K$39,1+$M11,FALSE)</f>
        <v/>
      </c>
    </row>
    <row r="12" spans="1:18" x14ac:dyDescent="0.3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1"/>
        <v>10.721476800000001</v>
      </c>
      <c r="J12" s="12">
        <v>7445.47</v>
      </c>
      <c r="K12" s="41">
        <v>0.79490000000000005</v>
      </c>
      <c r="M12" s="47">
        <v>9</v>
      </c>
      <c r="N12" s="37" t="str">
        <f>VLOOKUP(N$3,$A$20:$K$39,1+$M12,FALSE)</f>
        <v/>
      </c>
      <c r="O12" s="32">
        <f>VLOOKUP(O$3,$A$20:$K$39,1+$M12,FALSE)</f>
        <v>0</v>
      </c>
      <c r="P12" s="48" t="str">
        <f>VLOOKUP(P$3,$A$20:$K$39,1+$M12,FALSE)</f>
        <v/>
      </c>
    </row>
    <row r="13" spans="1:18" ht="15" thickBot="1" x14ac:dyDescent="0.35">
      <c r="A13" s="56" t="s">
        <v>30</v>
      </c>
      <c r="B13" s="35"/>
      <c r="G13">
        <v>10</v>
      </c>
      <c r="H13" s="42">
        <v>56.06</v>
      </c>
      <c r="I13" s="30">
        <f t="shared" si="1"/>
        <v>12.5996688</v>
      </c>
      <c r="J13" s="43">
        <v>8749.77</v>
      </c>
      <c r="K13" s="44">
        <v>0.61519999999999997</v>
      </c>
      <c r="M13" s="49">
        <v>10</v>
      </c>
      <c r="N13" s="50" t="str">
        <f>VLOOKUP(N$3,$A$20:$K$39,1+$M13,FALSE)</f>
        <v/>
      </c>
      <c r="O13" s="51">
        <f>VLOOKUP(O$3,$A$20:$K$39,1+$M13,FALSE)</f>
        <v>0</v>
      </c>
      <c r="P13" s="52" t="str">
        <f>VLOOKUP(P$3,$A$20:$K$39,1+$M13,FALSE)</f>
        <v/>
      </c>
    </row>
    <row r="14" spans="1:18" x14ac:dyDescent="0.3">
      <c r="C14" s="21"/>
      <c r="D14" s="77" t="s">
        <v>56</v>
      </c>
      <c r="E14" s="78"/>
      <c r="G14" s="21"/>
    </row>
    <row r="15" spans="1:18" x14ac:dyDescent="0.3">
      <c r="A15" s="83" t="s">
        <v>75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3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6" x14ac:dyDescent="0.3">
      <c r="A17" s="1"/>
      <c r="B17" t="s">
        <v>77</v>
      </c>
      <c r="C17" t="s">
        <v>78</v>
      </c>
      <c r="J17" s="38" t="s">
        <v>52</v>
      </c>
      <c r="K17" s="17"/>
    </row>
    <row r="18" spans="1:15" ht="15.75" customHeight="1" x14ac:dyDescent="0.3">
      <c r="A18" s="16" t="s">
        <v>74</v>
      </c>
      <c r="B18" s="82"/>
      <c r="C18" s="65">
        <v>11</v>
      </c>
      <c r="D18" s="85"/>
      <c r="F18" s="21"/>
    </row>
    <row r="19" spans="1:15" s="69" customFormat="1" ht="15.75" customHeight="1" x14ac:dyDescent="0.3">
      <c r="A19" s="16" t="s">
        <v>76</v>
      </c>
      <c r="B19" s="82"/>
      <c r="C19" s="65">
        <v>1</v>
      </c>
      <c r="D19" s="85"/>
      <c r="E19" s="27" t="s">
        <v>48</v>
      </c>
      <c r="F19" s="21"/>
    </row>
    <row r="20" spans="1:15" x14ac:dyDescent="0.3">
      <c r="A20" s="2" t="s">
        <v>0</v>
      </c>
      <c r="B20" s="84" t="s">
        <v>22</v>
      </c>
      <c r="C20" s="84" t="s">
        <v>23</v>
      </c>
      <c r="D20" s="8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3">
      <c r="A21" s="3" t="s">
        <v>1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3">
      <c r="A22" s="3" t="s">
        <v>38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15" x14ac:dyDescent="0.3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15" ht="28.8" x14ac:dyDescent="0.3">
      <c r="A24" s="3" t="s">
        <v>42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7"/>
      <c r="O24" s="81" t="s">
        <v>73</v>
      </c>
    </row>
    <row r="25" spans="1:15" x14ac:dyDescent="0.3">
      <c r="A25" s="3" t="s">
        <v>45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3">
      <c r="A26" s="3" t="s">
        <v>2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</row>
    <row r="27" spans="1:15" x14ac:dyDescent="0.3">
      <c r="A27" s="3" t="s">
        <v>31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5" x14ac:dyDescent="0.3">
      <c r="A28" s="3" t="s">
        <v>32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5" x14ac:dyDescent="0.3">
      <c r="A29" s="3" t="s">
        <v>33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5" x14ac:dyDescent="0.3">
      <c r="A30" s="3" t="s">
        <v>34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5" x14ac:dyDescent="0.3">
      <c r="A31" s="3" t="s">
        <v>35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1:15" x14ac:dyDescent="0.3">
      <c r="A32" s="3" t="s">
        <v>36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1:15" x14ac:dyDescent="0.3">
      <c r="A33" s="3" t="s">
        <v>3</v>
      </c>
      <c r="B33" s="18" t="str">
        <f t="shared" ref="B33:K33" si="2">IF(ISERR((B36*B35*$E$11*1.732)/1000)=FALSE,(B36*B35*$E$11*1.732)/1000,"")</f>
        <v/>
      </c>
      <c r="C33" s="18" t="str">
        <f t="shared" si="2"/>
        <v/>
      </c>
      <c r="D33" s="18" t="str">
        <f t="shared" si="2"/>
        <v/>
      </c>
      <c r="E33" s="18" t="str">
        <f t="shared" si="2"/>
        <v/>
      </c>
      <c r="F33" s="18" t="str">
        <f t="shared" si="2"/>
        <v/>
      </c>
      <c r="G33" s="18" t="str">
        <f t="shared" si="2"/>
        <v/>
      </c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</row>
    <row r="34" spans="1:15" x14ac:dyDescent="0.3">
      <c r="A34" s="3" t="s">
        <v>6</v>
      </c>
      <c r="B34" s="19" t="str">
        <f>IF(B33&lt;&gt;"",1.341*B33,"")</f>
        <v/>
      </c>
      <c r="C34" s="19" t="str">
        <f t="shared" ref="C34:K34" si="3">IF(C33&lt;&gt;"",1.341*C33,"")</f>
        <v/>
      </c>
      <c r="D34" s="19" t="str">
        <f t="shared" si="3"/>
        <v/>
      </c>
      <c r="E34" s="19" t="str">
        <f t="shared" si="3"/>
        <v/>
      </c>
      <c r="F34" s="19" t="str">
        <f t="shared" si="3"/>
        <v/>
      </c>
      <c r="G34" s="19" t="str">
        <f t="shared" si="3"/>
        <v/>
      </c>
      <c r="H34" s="19" t="str">
        <f t="shared" si="3"/>
        <v/>
      </c>
      <c r="I34" s="19" t="str">
        <f t="shared" si="3"/>
        <v/>
      </c>
      <c r="J34" s="19" t="str">
        <f t="shared" si="3"/>
        <v/>
      </c>
      <c r="K34" s="19" t="str">
        <f t="shared" si="3"/>
        <v/>
      </c>
    </row>
    <row r="35" spans="1:15" x14ac:dyDescent="0.3">
      <c r="A35" s="3" t="str">
        <f>"Ave. Amps "  &amp; B18</f>
        <v xml:space="preserve">Ave. Amps </v>
      </c>
      <c r="B35" s="19" t="str">
        <f>IF(B27&lt;&gt;"",AVERAGE(B27:B29),"")</f>
        <v/>
      </c>
      <c r="C35" s="19" t="str">
        <f t="shared" ref="C35:K35" si="4">IF(C27&lt;&gt;"",AVERAGE(C27:C29),"")</f>
        <v/>
      </c>
      <c r="D35" s="19" t="str">
        <f t="shared" si="4"/>
        <v/>
      </c>
      <c r="E35" s="19" t="str">
        <f t="shared" si="4"/>
        <v/>
      </c>
      <c r="F35" s="19" t="str">
        <f t="shared" si="4"/>
        <v/>
      </c>
      <c r="G35" s="19" t="str">
        <f t="shared" si="4"/>
        <v/>
      </c>
      <c r="H35" s="19" t="str">
        <f t="shared" si="4"/>
        <v/>
      </c>
      <c r="I35" s="19" t="str">
        <f t="shared" si="4"/>
        <v/>
      </c>
      <c r="J35" s="19" t="str">
        <f t="shared" si="4"/>
        <v/>
      </c>
      <c r="K35" s="19" t="str">
        <f t="shared" si="4"/>
        <v/>
      </c>
    </row>
    <row r="36" spans="1:15" x14ac:dyDescent="0.3">
      <c r="A36" s="24" t="str">
        <f>"Ave. Volts "&amp; B18</f>
        <v xml:space="preserve">Ave. Volts </v>
      </c>
      <c r="B36" s="23" t="str">
        <f>IF(ISERR(AVERAGE(B30:B32))=FALSE,AVERAGE(B30:B32),"")</f>
        <v/>
      </c>
      <c r="C36" s="23" t="str">
        <f t="shared" ref="C36:K36" si="5">IF(ISERR(AVERAGE(C30:C32))=FALSE,AVERAGE(C30:C32),"")</f>
        <v/>
      </c>
      <c r="D36" s="23" t="str">
        <f t="shared" si="5"/>
        <v/>
      </c>
      <c r="E36" s="23" t="str">
        <f t="shared" si="5"/>
        <v/>
      </c>
      <c r="F36" s="23" t="str">
        <f t="shared" si="5"/>
        <v/>
      </c>
      <c r="G36" s="23" t="str">
        <f t="shared" si="5"/>
        <v/>
      </c>
      <c r="H36" s="23" t="str">
        <f t="shared" si="5"/>
        <v/>
      </c>
      <c r="I36" s="23" t="str">
        <f t="shared" si="5"/>
        <v/>
      </c>
      <c r="J36" s="23" t="str">
        <f t="shared" si="5"/>
        <v/>
      </c>
      <c r="K36" s="23" t="str">
        <f t="shared" si="5"/>
        <v/>
      </c>
    </row>
    <row r="37" spans="1:15" x14ac:dyDescent="0.3">
      <c r="A37" s="3" t="s">
        <v>4</v>
      </c>
      <c r="B37" s="18" t="str">
        <f t="shared" ref="B37:K37" si="6">IF(B24="","",IF(LEFT($A$23,5)="Error","Suction Type?",IF(LEFT($A$23,5)="Reser",(B24*2.31+$B$10)-(B23+$B$11),IF(LEFT($A$23,5)="Sucti",(B24*2.31+$B$10)-((B23*2.31)+$B$12)))))</f>
        <v/>
      </c>
      <c r="C37" s="18" t="str">
        <f t="shared" si="6"/>
        <v/>
      </c>
      <c r="D37" s="18" t="str">
        <f t="shared" si="6"/>
        <v/>
      </c>
      <c r="E37" s="18" t="str">
        <f t="shared" si="6"/>
        <v/>
      </c>
      <c r="F37" s="18" t="str">
        <f t="shared" si="6"/>
        <v/>
      </c>
      <c r="G37" s="18" t="str">
        <f t="shared" si="6"/>
        <v/>
      </c>
      <c r="H37" s="18" t="str">
        <f t="shared" si="6"/>
        <v/>
      </c>
      <c r="I37" s="18" t="str">
        <f t="shared" si="6"/>
        <v/>
      </c>
      <c r="J37" s="18" t="str">
        <f t="shared" si="6"/>
        <v/>
      </c>
      <c r="K37" s="18" t="str">
        <f t="shared" si="6"/>
        <v/>
      </c>
    </row>
    <row r="38" spans="1:15" x14ac:dyDescent="0.3">
      <c r="A38" s="3" t="s">
        <v>5</v>
      </c>
      <c r="B38" s="19" t="str">
        <f t="shared" ref="B38:K38" si="7">IF(B26="","",B26*1000000/1440)</f>
        <v/>
      </c>
      <c r="C38" s="19" t="str">
        <f t="shared" si="7"/>
        <v/>
      </c>
      <c r="D38" s="19" t="str">
        <f t="shared" si="7"/>
        <v/>
      </c>
      <c r="E38" s="19" t="str">
        <f t="shared" si="7"/>
        <v/>
      </c>
      <c r="F38" s="19" t="str">
        <f t="shared" si="7"/>
        <v/>
      </c>
      <c r="G38" s="19" t="str">
        <f t="shared" si="7"/>
        <v/>
      </c>
      <c r="H38" s="19" t="str">
        <f t="shared" si="7"/>
        <v/>
      </c>
      <c r="I38" s="19" t="str">
        <f t="shared" si="7"/>
        <v/>
      </c>
      <c r="J38" s="19" t="str">
        <f t="shared" si="7"/>
        <v/>
      </c>
      <c r="K38" s="19" t="str">
        <f t="shared" si="7"/>
        <v/>
      </c>
    </row>
    <row r="39" spans="1:15" x14ac:dyDescent="0.3">
      <c r="A39" s="3" t="s">
        <v>7</v>
      </c>
      <c r="B39" s="20" t="str">
        <f>IF(B33&lt;&gt;"",B37*B38/3960/B34,"")</f>
        <v/>
      </c>
      <c r="C39" s="20" t="str">
        <f t="shared" ref="C39:K39" si="8">IF(C33&lt;&gt;"",C37*C38/3960/C34,"")</f>
        <v/>
      </c>
      <c r="D39" s="20" t="str">
        <f t="shared" si="8"/>
        <v/>
      </c>
      <c r="E39" s="20" t="str">
        <f t="shared" si="8"/>
        <v/>
      </c>
      <c r="F39" s="20" t="str">
        <f t="shared" si="8"/>
        <v/>
      </c>
      <c r="G39" s="20" t="str">
        <f t="shared" si="8"/>
        <v/>
      </c>
      <c r="H39" s="20" t="str">
        <f t="shared" si="8"/>
        <v/>
      </c>
      <c r="I39" s="20" t="str">
        <f t="shared" si="8"/>
        <v/>
      </c>
      <c r="J39" s="20" t="str">
        <f t="shared" si="8"/>
        <v/>
      </c>
      <c r="K39" s="20" t="str">
        <f t="shared" si="8"/>
        <v/>
      </c>
    </row>
    <row r="41" spans="1:15" x14ac:dyDescent="0.3">
      <c r="B41" s="22"/>
    </row>
    <row r="42" spans="1:15" x14ac:dyDescent="0.3">
      <c r="B42" s="22"/>
    </row>
    <row r="44" spans="1:15" x14ac:dyDescent="0.3">
      <c r="N44" s="80" t="s">
        <v>68</v>
      </c>
      <c r="O44" s="80"/>
    </row>
    <row r="45" spans="1:15" x14ac:dyDescent="0.3">
      <c r="N45" s="79" t="s">
        <v>60</v>
      </c>
      <c r="O45" s="79"/>
    </row>
    <row r="46" spans="1:15" x14ac:dyDescent="0.3">
      <c r="N46" s="79" t="s">
        <v>58</v>
      </c>
      <c r="O46" s="79"/>
    </row>
    <row r="47" spans="1:15" x14ac:dyDescent="0.3">
      <c r="N47" s="79" t="s">
        <v>63</v>
      </c>
      <c r="O47" s="79"/>
    </row>
    <row r="48" spans="1:15" x14ac:dyDescent="0.3">
      <c r="N48" s="79" t="s">
        <v>64</v>
      </c>
      <c r="O48" s="79"/>
    </row>
    <row r="49" spans="14:15" x14ac:dyDescent="0.3">
      <c r="N49" s="79" t="s">
        <v>65</v>
      </c>
      <c r="O49" s="79"/>
    </row>
    <row r="50" spans="14:15" x14ac:dyDescent="0.3">
      <c r="N50" s="79" t="s">
        <v>66</v>
      </c>
      <c r="O50" s="79"/>
    </row>
    <row r="51" spans="14:15" x14ac:dyDescent="0.3">
      <c r="N51" s="79" t="s">
        <v>67</v>
      </c>
      <c r="O51" s="79"/>
    </row>
    <row r="52" spans="14:15" x14ac:dyDescent="0.3">
      <c r="N52" s="79" t="s">
        <v>62</v>
      </c>
      <c r="O52" s="79"/>
    </row>
    <row r="53" spans="14:15" x14ac:dyDescent="0.3">
      <c r="N53" s="79" t="s">
        <v>61</v>
      </c>
      <c r="O53" s="79"/>
    </row>
    <row r="54" spans="14:15" x14ac:dyDescent="0.3">
      <c r="N54" s="79" t="s">
        <v>59</v>
      </c>
      <c r="O54" s="79"/>
    </row>
  </sheetData>
  <sheetProtection selectLockedCells="1"/>
  <dataConsolidate/>
  <mergeCells count="16">
    <mergeCell ref="D14:E14"/>
    <mergeCell ref="N44:O44"/>
    <mergeCell ref="N50:O50"/>
    <mergeCell ref="N51:O51"/>
    <mergeCell ref="N52:O52"/>
    <mergeCell ref="N53:O53"/>
    <mergeCell ref="N54:O54"/>
    <mergeCell ref="N45:O45"/>
    <mergeCell ref="N46:O46"/>
    <mergeCell ref="N47:O47"/>
    <mergeCell ref="N48:O48"/>
    <mergeCell ref="N49:O49"/>
    <mergeCell ref="H2:K2"/>
    <mergeCell ref="M2:P2"/>
    <mergeCell ref="A4:B4"/>
    <mergeCell ref="A9:B9"/>
  </mergeCells>
  <dataValidations count="5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  <dataValidation type="list" allowBlank="1" showInputMessage="1" showErrorMessage="1" sqref="C18:C19" xr:uid="{C832CEA5-BCB9-4A04-9F3B-14F1C409405C}">
      <formula1>"1,2,3,4,5,6,7,8,9,10,11,12"</formula1>
    </dataValidation>
    <dataValidation type="whole" showInputMessage="1" showErrorMessage="1" sqref="B18" xr:uid="{F28D518D-B9C7-4925-98DB-71F47B11BE16}">
      <formula1>1990</formula1>
      <formula2>2018</formula2>
    </dataValidation>
    <dataValidation type="whole" showInputMessage="1" showErrorMessage="1" sqref="B19" xr:uid="{2539A749-664E-4AE0-BD5F-65B4E9B32398}">
      <formula1>1990</formula1>
      <formula2>3000</formula2>
    </dataValidation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14</xdr:col>
                    <xdr:colOff>365760</xdr:colOff>
                    <xdr:row>29</xdr:row>
                    <xdr:rowOff>152400</xdr:rowOff>
                  </from>
                  <to>
                    <xdr:col>15</xdr:col>
                    <xdr:colOff>121920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182880</xdr:colOff>
                    <xdr:row>0</xdr:row>
                    <xdr:rowOff>259080</xdr:rowOff>
                  </from>
                  <to>
                    <xdr:col>3</xdr:col>
                    <xdr:colOff>769620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PAUEngineerTemplate</vt:lpstr>
      <vt:lpstr>https___pump_assessment_utility.herokuapp.com</vt:lpstr>
      <vt:lpstr>localhost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2018-07-14T23:41:47Z</dcterms:modified>
</cp:coreProperties>
</file>