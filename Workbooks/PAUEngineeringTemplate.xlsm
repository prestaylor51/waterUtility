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73AE56BF-D336-4B33-A734-AC8D1F3CC509}" xr6:coauthVersionLast="34" xr6:coauthVersionMax="34" xr10:uidLastSave="{00000000-0000-0000-0000-000000000000}"/>
  <bookViews>
    <workbookView xWindow="0" yWindow="0" windowWidth="28800" windowHeight="12375" tabRatio="926" xr2:uid="{00000000-000D-0000-FFFF-FFFF00000000}"/>
  </bookViews>
  <sheets>
    <sheet name="PAUEngineerTemplate" sheetId="36" r:id="rId1"/>
  </sheets>
  <definedNames>
    <definedName name="https___pump_assessment_utility.herokuapp.com">PAUEngineerTemplate!$N$15</definedName>
    <definedName name="localhost">PAUEngineerTemplate!$N$16</definedName>
    <definedName name="_xlnm.Print_Area" localSheetId="0">PAUEngineerTemplate!$A$2:$L$37</definedName>
  </definedNames>
  <calcPr calcId="179017"/>
</workbook>
</file>

<file path=xl/calcChain.xml><?xml version="1.0" encoding="utf-8"?>
<calcChain xmlns="http://schemas.openxmlformats.org/spreadsheetml/2006/main">
  <c r="E17" i="36" l="1"/>
  <c r="K37" i="36" l="1"/>
  <c r="J37" i="36"/>
  <c r="I37" i="36"/>
  <c r="H37" i="36"/>
  <c r="G37" i="36"/>
  <c r="F37" i="36"/>
  <c r="E37" i="36"/>
  <c r="D37" i="36"/>
  <c r="C37" i="36"/>
  <c r="B37" i="36"/>
  <c r="K36" i="36"/>
  <c r="J36" i="36"/>
  <c r="I36" i="36"/>
  <c r="H36" i="36"/>
  <c r="G36" i="36"/>
  <c r="F36" i="36"/>
  <c r="E36" i="36"/>
  <c r="D36" i="36"/>
  <c r="C36" i="36"/>
  <c r="B36" i="36"/>
  <c r="K35" i="36"/>
  <c r="J35" i="36"/>
  <c r="I35" i="36"/>
  <c r="H35" i="36"/>
  <c r="G35" i="36"/>
  <c r="F35" i="36"/>
  <c r="E35" i="36"/>
  <c r="D35" i="36"/>
  <c r="C35" i="36"/>
  <c r="C32" i="36" s="1"/>
  <c r="C38" i="36" s="1"/>
  <c r="B35" i="36"/>
  <c r="A35" i="36"/>
  <c r="K34" i="36"/>
  <c r="J34" i="36"/>
  <c r="I34" i="36"/>
  <c r="H34" i="36"/>
  <c r="G34" i="36"/>
  <c r="F34" i="36"/>
  <c r="F32" i="36" s="1"/>
  <c r="E34" i="36"/>
  <c r="E32" i="36" s="1"/>
  <c r="E38" i="36" s="1"/>
  <c r="D34" i="36"/>
  <c r="C34" i="36"/>
  <c r="B34" i="36"/>
  <c r="A34" i="36"/>
  <c r="I32" i="36"/>
  <c r="I38" i="36" s="1"/>
  <c r="G32" i="36"/>
  <c r="G38" i="36" s="1"/>
  <c r="A22" i="36"/>
  <c r="O12" i="36" s="1"/>
  <c r="I13" i="36"/>
  <c r="I12" i="36"/>
  <c r="I11" i="36"/>
  <c r="I10" i="36"/>
  <c r="I9" i="36"/>
  <c r="I8" i="36"/>
  <c r="I7" i="36"/>
  <c r="I6" i="36"/>
  <c r="I5" i="36"/>
  <c r="B5" i="36"/>
  <c r="I4" i="36"/>
  <c r="M2" i="36"/>
  <c r="O9" i="36" l="1"/>
  <c r="O5" i="36"/>
  <c r="O11" i="36"/>
  <c r="N4" i="36"/>
  <c r="O6" i="36"/>
  <c r="O7" i="36"/>
  <c r="O8" i="36"/>
  <c r="K32" i="36"/>
  <c r="K38" i="36" s="1"/>
  <c r="P13" i="36" s="1"/>
  <c r="O10" i="36"/>
  <c r="O13" i="36"/>
  <c r="B32" i="36"/>
  <c r="B38" i="36" s="1"/>
  <c r="P4" i="36" s="1"/>
  <c r="J32" i="36"/>
  <c r="J38" i="36" s="1"/>
  <c r="P12" i="36" s="1"/>
  <c r="D32" i="36"/>
  <c r="D33" i="36" s="1"/>
  <c r="H32" i="36"/>
  <c r="H33" i="36" s="1"/>
  <c r="I33" i="36"/>
  <c r="E33" i="36"/>
  <c r="F38" i="36"/>
  <c r="P8" i="36" s="1"/>
  <c r="F33" i="36"/>
  <c r="J33" i="36"/>
  <c r="D38" i="36"/>
  <c r="P6" i="36" s="1"/>
  <c r="H38" i="36"/>
  <c r="P10" i="36" s="1"/>
  <c r="O4" i="36"/>
  <c r="N5" i="36"/>
  <c r="N6" i="36"/>
  <c r="N7" i="36"/>
  <c r="N8" i="36"/>
  <c r="N9" i="36"/>
  <c r="N10" i="36"/>
  <c r="N11" i="36"/>
  <c r="N12" i="36"/>
  <c r="N13" i="36"/>
  <c r="P5" i="36"/>
  <c r="P7" i="36"/>
  <c r="P9" i="36"/>
  <c r="P11" i="36"/>
  <c r="C33" i="36"/>
  <c r="G33" i="36"/>
  <c r="B33" i="36" l="1"/>
  <c r="K33" i="36"/>
</calcChain>
</file>

<file path=xl/sharedStrings.xml><?xml version="1.0" encoding="utf-8"?>
<sst xmlns="http://schemas.openxmlformats.org/spreadsheetml/2006/main" count="79" uniqueCount="74">
  <si>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</si>
  <si>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</si>
  <si>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</si>
  <si>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</si>
  <si>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</si>
  <si>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</si>
  <si>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</si>
  <si>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</si>
  <si>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</si>
  <si>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</si>
  <si>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</si>
  <si>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</si>
  <si>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</si>
  <si>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</si>
  <si>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</si>
  <si>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</si>
  <si>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</si>
  <si>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</si>
  <si>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</si>
  <si>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</si>
  <si>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</si>
  <si>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</si>
  <si>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</si>
  <si>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</si>
  <si>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</si>
  <si>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</si>
  <si>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</si>
  <si>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</si>
  <si>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</si>
  <si>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</si>
  <si>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</si>
  <si>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</si>
  <si>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</si>
  <si>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</si>
  <si>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</si>
  <si>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</si>
  <si>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</si>
  <si>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</si>
  <si>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</si>
  <si>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</si>
  <si>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</si>
  <si>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</si>
  <si>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</si>
  <si>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</si>
  <si>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</si>
  <si>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</si>
  <si>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</si>
  <si>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</si>
  <si>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</si>
  <si>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</si>
  <si>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</si>
  <si>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</si>
  <si>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</si>
  <si>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</si>
  <si>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</si>
  <si>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</si>
  <si>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</si>
  <si>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</si>
  <si>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Serial Number: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</si>
  <si>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</si>
  <si>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</si>
  <si>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</si>
  <si>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</si>
  <si>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</si>
  <si>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</si>
  <si>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</si>
  <si>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</si>
  <si>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</si>
  <si>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</si>
  <si>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</si>
  <si>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https://pump-assessment-utility.herokuapp.com/</t>
  </si>
  <si>
    <t>http://localhost:3000/InsertPumpTest</t>
  </si>
  <si>
    <t>No:</t>
  </si>
  <si>
    <t>Pump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</si>
</sst>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7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82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3" fillId="5" borderId="0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Alignment="1"/>
    <xf numFmtId="0" fontId="11" fillId="0" borderId="0" xfId="3" applyAlignment="1"/>
    <xf numFmtId="0" fontId="1" fillId="0" borderId="0" xfId="0" applyFont="1" applyAlignment="1">
      <alignment horizontal="center"/>
    </xf>
    <xf numFmtId="0" fontId="0" fillId="0" borderId="0" xfId="0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5" borderId="0" xfId="0" applyFill="1"/>
    <xf numFmtId="0" fontId="3" fillId="0" borderId="0" xfId="0" applyFont="1"/>
    <xf numFmtId="0" fontId="3" fillId="0" borderId="0" xfId="0" applyFont="1" applyFill="1" applyBorder="1" applyAlignment="1" applyProtection="1">
      <alignment horizontal="center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PAUEngineerTemplate!$B$25:$K$25</c:f>
              <c:numCache>
                <c:formatCode>0.00</c:formatCode>
                <c:ptCount val="10"/>
              </c:numCache>
            </c:numRef>
          </c:xVal>
          <c:yVal>
            <c:numRef>
              <c:f>PAUEngineerTemplate!$B$36:$K$36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PAUEngineerTemplate!$K$3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PAUEngineerTemplate!$K$4:$K$13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PAUEngineerTemplate!$B$25:$F$25</c:f>
              <c:numCache>
                <c:formatCode>0.00</c:formatCode>
                <c:ptCount val="5"/>
              </c:numCache>
            </c:numRef>
          </c:xVal>
          <c:yVal>
            <c:numRef>
              <c:f>PAUEngineerTemplate!$B$38:$F$38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PAUEngineerTemplate!$B$25:$F$25</c:f>
              <c:numCache>
                <c:formatCode>0.00</c:formatCode>
                <c:ptCount val="5"/>
              </c:numCache>
            </c:numRef>
          </c:xVal>
          <c:yVal>
            <c:numRef>
              <c:f>PAUEngineerTemplate!$B$36:$F$36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PAUEngineerTemplate!$A$35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PAUEngineerTemplate!$B$25:$F$25</c:f>
              <c:numCache>
                <c:formatCode>0.00</c:formatCode>
                <c:ptCount val="5"/>
              </c:numCache>
            </c:numRef>
          </c:xVal>
          <c:yVal>
            <c:numRef>
              <c:f>PAUEngineerTemplate!$B$35:$F$35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PAUEngineerTemplate!$B$25:$F$25</c:f>
              <c:numCache>
                <c:formatCode>0.00</c:formatCode>
                <c:ptCount val="5"/>
              </c:numCache>
            </c:numRef>
          </c:xVal>
          <c:yVal>
            <c:numRef>
              <c:f>PAUEngineerTemplate!$B$36:$F$36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PAUEngineerTemplate!$A$34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PAUEngineerTemplate!$B$25:$F$25</c:f>
              <c:numCache>
                <c:formatCode>0.00</c:formatCode>
                <c:ptCount val="5"/>
              </c:numCache>
            </c:numRef>
          </c:xVal>
          <c:yVal>
            <c:numRef>
              <c:f>PAUEngineerTemplate!$B$34:$F$34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57150</xdr:rowOff>
    </xdr:from>
    <xdr:to>
      <xdr:col>6</xdr:col>
      <xdr:colOff>457200</xdr:colOff>
      <xdr:row>2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28</xdr:row>
          <xdr:rowOff>152400</xdr:rowOff>
        </xdr:from>
        <xdr:to>
          <xdr:col>15</xdr:col>
          <xdr:colOff>123825</xdr:colOff>
          <xdr:row>32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257175</xdr:rowOff>
        </xdr:from>
        <xdr:to>
          <xdr:col>3</xdr:col>
          <xdr:colOff>771525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89B59DB-5402-4590-878C-C5EC9FC9B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Load Pumps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2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2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2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2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2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2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ump-assessment-utility.herokuapp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3"/>
  <sheetViews>
    <sheetView tabSelected="1" zoomScaleNormal="100" workbookViewId="0">
      <selection activeCell="E2" sqref="E2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s="64" customFormat="1" ht="21.75" thickBot="1" x14ac:dyDescent="0.4">
      <c r="A1" s="5" t="s">
        <v>73</v>
      </c>
      <c r="B1" s="80" t="s">
        <v>72</v>
      </c>
    </row>
    <row r="2" spans="1:18" ht="21" x14ac:dyDescent="0.35">
      <c r="A2" s="79"/>
      <c r="B2" s="65"/>
      <c r="C2" s="81"/>
      <c r="D2" s="4"/>
      <c r="E2" s="4"/>
      <c r="G2" s="4"/>
      <c r="H2" s="72" t="s">
        <v>11</v>
      </c>
      <c r="I2" s="73"/>
      <c r="J2" s="73"/>
      <c r="K2" s="74"/>
      <c r="M2" s="72" t="str">
        <f>B17&amp;" "&amp;B18&amp;" Transposed for Model Use"</f>
        <v>Test Pump Curve  Transposed for Model Use</v>
      </c>
      <c r="N2" s="73"/>
      <c r="O2" s="73"/>
      <c r="P2" s="74"/>
    </row>
    <row r="3" spans="1:18" ht="16.5" thickBot="1" x14ac:dyDescent="0.3">
      <c r="A3" s="6"/>
      <c r="B3" s="14"/>
      <c r="D3" s="8" t="s">
        <v>16</v>
      </c>
      <c r="E3" s="13"/>
      <c r="G3" s="4"/>
      <c r="H3" s="39" t="s">
        <v>9</v>
      </c>
      <c r="I3" s="10" t="s">
        <v>22</v>
      </c>
      <c r="J3" s="2" t="s">
        <v>10</v>
      </c>
      <c r="K3" s="40" t="s">
        <v>48</v>
      </c>
      <c r="M3" s="45" t="s">
        <v>50</v>
      </c>
      <c r="N3" s="31" t="s">
        <v>5</v>
      </c>
      <c r="O3" s="31" t="s">
        <v>3</v>
      </c>
      <c r="P3" s="46" t="s">
        <v>8</v>
      </c>
      <c r="Q3" s="58"/>
    </row>
    <row r="4" spans="1:18" ht="15.75" customHeight="1" x14ac:dyDescent="0.25">
      <c r="A4" s="75" t="s">
        <v>12</v>
      </c>
      <c r="B4" s="76"/>
      <c r="D4" s="9" t="s">
        <v>18</v>
      </c>
      <c r="E4" s="66"/>
      <c r="G4">
        <v>1</v>
      </c>
      <c r="H4" s="11">
        <v>202.89</v>
      </c>
      <c r="I4" s="30">
        <f t="shared" ref="I4:I9" si="0">IF(J4&lt;&gt;"",J4*1440/1000000,NA())</f>
        <v>0</v>
      </c>
      <c r="J4" s="12">
        <v>0</v>
      </c>
      <c r="K4" s="41">
        <v>0</v>
      </c>
      <c r="M4" s="47">
        <v>1</v>
      </c>
      <c r="N4" s="37" t="str">
        <f t="shared" ref="N4:P13" si="1">VLOOKUP(N$3,$A$19:$K$38,1+$M4,FALSE)</f>
        <v/>
      </c>
      <c r="O4" s="32">
        <f t="shared" si="1"/>
        <v>0</v>
      </c>
      <c r="P4" s="48" t="str">
        <f t="shared" si="1"/>
        <v/>
      </c>
      <c r="Q4" s="59"/>
    </row>
    <row r="5" spans="1:18" ht="15.75" customHeight="1" x14ac:dyDescent="0.25">
      <c r="A5" s="25" t="s">
        <v>13</v>
      </c>
      <c r="B5" s="29">
        <f>B6*1440/1000000</f>
        <v>0</v>
      </c>
      <c r="D5" s="9" t="s">
        <v>58</v>
      </c>
      <c r="E5" s="67"/>
      <c r="G5">
        <v>2</v>
      </c>
      <c r="H5" s="11">
        <v>164.97</v>
      </c>
      <c r="I5" s="30">
        <f t="shared" si="0"/>
        <v>3.0941136</v>
      </c>
      <c r="J5" s="12">
        <v>2148.69</v>
      </c>
      <c r="K5" s="41">
        <v>0.41870000000000002</v>
      </c>
      <c r="M5" s="47">
        <v>2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8" ht="16.5" customHeight="1" x14ac:dyDescent="0.25">
      <c r="A6" s="25" t="s">
        <v>14</v>
      </c>
      <c r="B6" s="34"/>
      <c r="C6" s="21"/>
      <c r="D6" s="9" t="s">
        <v>20</v>
      </c>
      <c r="E6" s="36"/>
      <c r="G6">
        <v>3</v>
      </c>
      <c r="H6" s="11">
        <v>151.58000000000001</v>
      </c>
      <c r="I6" s="30">
        <f t="shared" si="0"/>
        <v>4.5163152000000002</v>
      </c>
      <c r="J6" s="12">
        <v>3136.33</v>
      </c>
      <c r="K6" s="41">
        <v>0.57489999999999997</v>
      </c>
      <c r="M6" s="47">
        <v>3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8" ht="15.75" thickBot="1" x14ac:dyDescent="0.3">
      <c r="A7" s="26" t="s">
        <v>15</v>
      </c>
      <c r="B7" s="35"/>
      <c r="D7" s="8" t="s">
        <v>17</v>
      </c>
      <c r="E7" s="13"/>
      <c r="G7">
        <v>4</v>
      </c>
      <c r="H7" s="11">
        <v>135.30000000000001</v>
      </c>
      <c r="I7" s="30">
        <f t="shared" si="0"/>
        <v>5.8827167999999999</v>
      </c>
      <c r="J7" s="12">
        <v>4085.22</v>
      </c>
      <c r="K7" s="41">
        <v>0.68489999999999995</v>
      </c>
      <c r="M7" s="47">
        <v>4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8" ht="15.75" thickBot="1" x14ac:dyDescent="0.3">
      <c r="D8" s="8" t="s">
        <v>19</v>
      </c>
      <c r="E8" s="13"/>
      <c r="G8">
        <v>5</v>
      </c>
      <c r="H8" s="11">
        <v>130.82</v>
      </c>
      <c r="I8" s="30">
        <f t="shared" si="0"/>
        <v>6.4436688000000011</v>
      </c>
      <c r="J8" s="12">
        <v>4474.7700000000004</v>
      </c>
      <c r="K8" s="41">
        <v>0.72370000000000001</v>
      </c>
      <c r="M8" s="47">
        <v>5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 s="59"/>
    </row>
    <row r="9" spans="1:18" s="15" customFormat="1" ht="15" customHeight="1" x14ac:dyDescent="0.25">
      <c r="A9" s="75" t="s">
        <v>54</v>
      </c>
      <c r="B9" s="76"/>
      <c r="D9" s="9" t="s">
        <v>21</v>
      </c>
      <c r="E9" s="36"/>
      <c r="G9">
        <v>6</v>
      </c>
      <c r="H9" s="11">
        <v>125</v>
      </c>
      <c r="I9" s="30">
        <f t="shared" si="0"/>
        <v>7.2675792000000001</v>
      </c>
      <c r="J9" s="12">
        <v>5046.93</v>
      </c>
      <c r="K9" s="41">
        <v>0.77070000000000005</v>
      </c>
      <c r="M9" s="47">
        <v>6</v>
      </c>
      <c r="N9" s="37" t="str">
        <f t="shared" si="1"/>
        <v/>
      </c>
      <c r="O9" s="32">
        <f t="shared" si="1"/>
        <v>0</v>
      </c>
      <c r="P9" s="48" t="str">
        <f t="shared" si="1"/>
        <v/>
      </c>
      <c r="Q9"/>
      <c r="R9"/>
    </row>
    <row r="10" spans="1:18" x14ac:dyDescent="0.25">
      <c r="A10" s="53" t="s">
        <v>44</v>
      </c>
      <c r="B10" s="57"/>
      <c r="D10" s="8" t="s">
        <v>38</v>
      </c>
      <c r="E10" s="13"/>
      <c r="G10">
        <v>7</v>
      </c>
      <c r="H10" s="11">
        <v>123.04</v>
      </c>
      <c r="I10" s="30">
        <f>IF(J10&lt;&gt;"",J10*1440/1000000,NA())</f>
        <v>8.0114400000000003</v>
      </c>
      <c r="J10" s="12">
        <v>5563.5</v>
      </c>
      <c r="K10" s="41">
        <v>0.81710000000000005</v>
      </c>
      <c r="M10" s="47">
        <v>7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8" x14ac:dyDescent="0.25">
      <c r="A11" s="55" t="s">
        <v>42</v>
      </c>
      <c r="B11" s="57"/>
      <c r="C11" s="21"/>
      <c r="D11" s="8" t="s">
        <v>55</v>
      </c>
      <c r="E11" s="13"/>
      <c r="G11">
        <v>8</v>
      </c>
      <c r="H11" s="11">
        <v>117.22</v>
      </c>
      <c r="I11" s="30">
        <f t="shared" ref="I11:I13" si="2">IF(J11&lt;&gt;"",J11*1440/1000000,NA())</f>
        <v>8.8218288000000005</v>
      </c>
      <c r="J11" s="12">
        <v>6126.27</v>
      </c>
      <c r="K11" s="41">
        <v>0.83589999999999998</v>
      </c>
      <c r="M11" s="47">
        <v>8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8" x14ac:dyDescent="0.25">
      <c r="A12" s="55" t="s">
        <v>45</v>
      </c>
      <c r="B12" s="54" t="s">
        <v>47</v>
      </c>
      <c r="D12" s="8" t="s">
        <v>56</v>
      </c>
      <c r="E12" s="13"/>
      <c r="G12">
        <v>9</v>
      </c>
      <c r="H12" s="11">
        <v>91.43</v>
      </c>
      <c r="I12" s="30">
        <f t="shared" si="2"/>
        <v>10.721476800000001</v>
      </c>
      <c r="J12" s="12">
        <v>7445.47</v>
      </c>
      <c r="K12" s="41">
        <v>0.79490000000000005</v>
      </c>
      <c r="M12" s="47">
        <v>9</v>
      </c>
      <c r="N12" s="37" t="str">
        <f t="shared" si="1"/>
        <v/>
      </c>
      <c r="O12" s="32">
        <f t="shared" si="1"/>
        <v>0</v>
      </c>
      <c r="P12" s="48" t="str">
        <f t="shared" si="1"/>
        <v/>
      </c>
    </row>
    <row r="13" spans="1:18" ht="15.75" thickBot="1" x14ac:dyDescent="0.3">
      <c r="A13" s="56" t="s">
        <v>31</v>
      </c>
      <c r="B13" s="35"/>
      <c r="G13">
        <v>10</v>
      </c>
      <c r="H13" s="42">
        <v>56.06</v>
      </c>
      <c r="I13" s="30">
        <f t="shared" si="2"/>
        <v>12.5996688</v>
      </c>
      <c r="J13" s="43">
        <v>8749.77</v>
      </c>
      <c r="K13" s="44">
        <v>0.61519999999999997</v>
      </c>
      <c r="M13" s="49">
        <v>10</v>
      </c>
      <c r="N13" s="50" t="str">
        <f t="shared" si="1"/>
        <v/>
      </c>
      <c r="O13" s="51">
        <f t="shared" si="1"/>
        <v>0</v>
      </c>
      <c r="P13" s="52" t="str">
        <f t="shared" si="1"/>
        <v/>
      </c>
    </row>
    <row r="14" spans="1:18" x14ac:dyDescent="0.25">
      <c r="C14" s="21"/>
      <c r="G14" s="21"/>
    </row>
    <row r="15" spans="1:18" x14ac:dyDescent="0.25">
      <c r="C15" s="21"/>
      <c r="D15" s="77" t="s">
        <v>57</v>
      </c>
      <c r="E15" s="78"/>
      <c r="G15" s="21"/>
      <c r="J15" s="38" t="s">
        <v>51</v>
      </c>
      <c r="K15" s="33"/>
      <c r="N15" s="69" t="s">
        <v>70</v>
      </c>
      <c r="O15" s="68"/>
      <c r="P15" s="68"/>
      <c r="Q15" s="68"/>
    </row>
    <row r="16" spans="1:18" x14ac:dyDescent="0.25">
      <c r="C16" s="21"/>
      <c r="D16" s="10" t="s">
        <v>13</v>
      </c>
      <c r="E16" s="61"/>
      <c r="G16" s="21"/>
      <c r="J16" s="38" t="s">
        <v>52</v>
      </c>
      <c r="K16" s="28"/>
      <c r="N16" s="68" t="s">
        <v>71</v>
      </c>
      <c r="O16" s="68"/>
      <c r="P16" s="68"/>
      <c r="Q16" s="68"/>
    </row>
    <row r="17" spans="1:12" ht="15.75" x14ac:dyDescent="0.25">
      <c r="A17" s="1"/>
      <c r="B17" s="27" t="s">
        <v>49</v>
      </c>
      <c r="D17" s="10" t="s">
        <v>14</v>
      </c>
      <c r="E17" s="28">
        <f>E16*1000000/1440</f>
        <v>0</v>
      </c>
      <c r="J17" s="38" t="s">
        <v>53</v>
      </c>
      <c r="K17" s="17"/>
    </row>
    <row r="18" spans="1:12" ht="15.75" customHeight="1" x14ac:dyDescent="0.25">
      <c r="A18" s="16" t="s">
        <v>1</v>
      </c>
      <c r="B18" s="60"/>
      <c r="C18" s="21"/>
      <c r="F18" s="21"/>
    </row>
    <row r="19" spans="1:12" x14ac:dyDescent="0.25">
      <c r="A19" s="2" t="s">
        <v>0</v>
      </c>
      <c r="B19" s="2" t="s">
        <v>23</v>
      </c>
      <c r="C19" s="2" t="s">
        <v>24</v>
      </c>
      <c r="D19" s="2" t="s">
        <v>25</v>
      </c>
      <c r="E19" s="2" t="s">
        <v>26</v>
      </c>
      <c r="F19" s="2" t="s">
        <v>27</v>
      </c>
      <c r="G19" s="2" t="s">
        <v>28</v>
      </c>
      <c r="H19" s="2" t="s">
        <v>29</v>
      </c>
      <c r="I19" s="2" t="s">
        <v>30</v>
      </c>
      <c r="J19" s="2" t="s">
        <v>40</v>
      </c>
      <c r="K19" s="2" t="s">
        <v>41</v>
      </c>
    </row>
    <row r="20" spans="1:12" x14ac:dyDescent="0.25">
      <c r="A20" s="3" t="s">
        <v>2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7"/>
    </row>
    <row r="21" spans="1:12" x14ac:dyDescent="0.25">
      <c r="A21" s="3" t="s">
        <v>39</v>
      </c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7"/>
    </row>
    <row r="22" spans="1:12" x14ac:dyDescent="0.25">
      <c r="A22" s="3" t="str">
        <f>IF(AND(B12="NA",ISNUMBER(B11)),"Reservoir Level (ft):",IF(AND(B11="NA",ISNUMBER(B12)),"Suction Pressure (psi):","Error Suction Configuration"))</f>
        <v>Error Suction Configuration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7"/>
    </row>
    <row r="23" spans="1:12" x14ac:dyDescent="0.25">
      <c r="A23" s="3" t="s">
        <v>43</v>
      </c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7"/>
    </row>
    <row r="24" spans="1:12" x14ac:dyDescent="0.25">
      <c r="A24" s="3" t="s">
        <v>46</v>
      </c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7"/>
    </row>
    <row r="25" spans="1:12" x14ac:dyDescent="0.25">
      <c r="A25" s="3" t="s">
        <v>3</v>
      </c>
      <c r="B25" s="63"/>
      <c r="C25" s="63"/>
      <c r="D25" s="63"/>
      <c r="E25" s="63"/>
      <c r="F25" s="63"/>
      <c r="G25" s="63"/>
      <c r="H25" s="63"/>
      <c r="I25" s="63"/>
      <c r="J25" s="63"/>
      <c r="K25" s="63"/>
    </row>
    <row r="26" spans="1:12" x14ac:dyDescent="0.25">
      <c r="A26" s="3" t="s">
        <v>32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1:12" x14ac:dyDescent="0.25">
      <c r="A27" s="3" t="s">
        <v>33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1:12" x14ac:dyDescent="0.25">
      <c r="A28" s="3" t="s">
        <v>34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1:12" x14ac:dyDescent="0.25">
      <c r="A29" s="3" t="s">
        <v>35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1:12" x14ac:dyDescent="0.25">
      <c r="A30" s="3" t="s">
        <v>36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1:12" x14ac:dyDescent="0.25">
      <c r="A31" s="3" t="s">
        <v>37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1:12" x14ac:dyDescent="0.25">
      <c r="A32" s="3" t="s">
        <v>4</v>
      </c>
      <c r="B32" s="18" t="str">
        <f t="shared" ref="B32:K32" si="3">IF(ISERR((B35*B34*$E$11*1.732)/1000)=FALSE,(B35*B34*$E$11*1.732)/1000,"")</f>
        <v/>
      </c>
      <c r="C32" s="18" t="str">
        <f t="shared" si="3"/>
        <v/>
      </c>
      <c r="D32" s="18" t="str">
        <f t="shared" si="3"/>
        <v/>
      </c>
      <c r="E32" s="18" t="str">
        <f t="shared" si="3"/>
        <v/>
      </c>
      <c r="F32" s="18" t="str">
        <f t="shared" si="3"/>
        <v/>
      </c>
      <c r="G32" s="18" t="str">
        <f t="shared" si="3"/>
        <v/>
      </c>
      <c r="H32" s="18" t="str">
        <f t="shared" si="3"/>
        <v/>
      </c>
      <c r="I32" s="18" t="str">
        <f t="shared" si="3"/>
        <v/>
      </c>
      <c r="J32" s="18" t="str">
        <f t="shared" si="3"/>
        <v/>
      </c>
      <c r="K32" s="18" t="str">
        <f t="shared" si="3"/>
        <v/>
      </c>
    </row>
    <row r="33" spans="1:15" x14ac:dyDescent="0.25">
      <c r="A33" s="3" t="s">
        <v>7</v>
      </c>
      <c r="B33" s="19" t="str">
        <f>IF(B32&lt;&gt;"",1.341*B32,"")</f>
        <v/>
      </c>
      <c r="C33" s="19" t="str">
        <f t="shared" ref="C33:K33" si="4">IF(C32&lt;&gt;"",1.341*C32,"")</f>
        <v/>
      </c>
      <c r="D33" s="19" t="str">
        <f t="shared" si="4"/>
        <v/>
      </c>
      <c r="E33" s="19" t="str">
        <f t="shared" si="4"/>
        <v/>
      </c>
      <c r="F33" s="19" t="str">
        <f t="shared" si="4"/>
        <v/>
      </c>
      <c r="G33" s="19" t="str">
        <f t="shared" si="4"/>
        <v/>
      </c>
      <c r="H33" s="19" t="str">
        <f t="shared" si="4"/>
        <v/>
      </c>
      <c r="I33" s="19" t="str">
        <f t="shared" si="4"/>
        <v/>
      </c>
      <c r="J33" s="19" t="str">
        <f t="shared" si="4"/>
        <v/>
      </c>
      <c r="K33" s="19" t="str">
        <f t="shared" si="4"/>
        <v/>
      </c>
    </row>
    <row r="34" spans="1:15" x14ac:dyDescent="0.25">
      <c r="A34" s="3" t="str">
        <f>"Ave. Amps "  &amp; B18</f>
        <v xml:space="preserve">Ave. Amps </v>
      </c>
      <c r="B34" s="19" t="str">
        <f>IF(B26&lt;&gt;"",AVERAGE(B26:B28),"")</f>
        <v/>
      </c>
      <c r="C34" s="19" t="str">
        <f t="shared" ref="C34:K34" si="5">IF(C26&lt;&gt;"",AVERAGE(C26:C28),"")</f>
        <v/>
      </c>
      <c r="D34" s="19" t="str">
        <f t="shared" si="5"/>
        <v/>
      </c>
      <c r="E34" s="19" t="str">
        <f t="shared" si="5"/>
        <v/>
      </c>
      <c r="F34" s="19" t="str">
        <f t="shared" si="5"/>
        <v/>
      </c>
      <c r="G34" s="19" t="str">
        <f t="shared" si="5"/>
        <v/>
      </c>
      <c r="H34" s="19" t="str">
        <f t="shared" si="5"/>
        <v/>
      </c>
      <c r="I34" s="19" t="str">
        <f t="shared" si="5"/>
        <v/>
      </c>
      <c r="J34" s="19" t="str">
        <f t="shared" si="5"/>
        <v/>
      </c>
      <c r="K34" s="19" t="str">
        <f t="shared" si="5"/>
        <v/>
      </c>
    </row>
    <row r="35" spans="1:15" x14ac:dyDescent="0.25">
      <c r="A35" s="24" t="str">
        <f>"Ave. Volts "&amp; B18</f>
        <v xml:space="preserve">Ave. Volts </v>
      </c>
      <c r="B35" s="23" t="str">
        <f>IF(ISERR(AVERAGE(B29:B31))=FALSE,AVERAGE(B29:B31),"")</f>
        <v/>
      </c>
      <c r="C35" s="23" t="str">
        <f t="shared" ref="C35:K35" si="6">IF(ISERR(AVERAGE(C29:C31))=FALSE,AVERAGE(C29:C31),"")</f>
        <v/>
      </c>
      <c r="D35" s="23" t="str">
        <f t="shared" si="6"/>
        <v/>
      </c>
      <c r="E35" s="23" t="str">
        <f t="shared" si="6"/>
        <v/>
      </c>
      <c r="F35" s="23" t="str">
        <f t="shared" si="6"/>
        <v/>
      </c>
      <c r="G35" s="23" t="str">
        <f t="shared" si="6"/>
        <v/>
      </c>
      <c r="H35" s="23" t="str">
        <f t="shared" si="6"/>
        <v/>
      </c>
      <c r="I35" s="23" t="str">
        <f t="shared" si="6"/>
        <v/>
      </c>
      <c r="J35" s="23" t="str">
        <f t="shared" si="6"/>
        <v/>
      </c>
      <c r="K35" s="23" t="str">
        <f t="shared" si="6"/>
        <v/>
      </c>
    </row>
    <row r="36" spans="1:15" x14ac:dyDescent="0.25">
      <c r="A36" s="3" t="s">
        <v>5</v>
      </c>
      <c r="B36" s="18" t="str">
        <f t="shared" ref="B36:K36" si="7">IF(B23="","",IF(LEFT($A$22,5)="Error","Suction Type?",IF(LEFT($A$22,5)="Reser",(B23*2.31+$B$10)-(B22+$B$11),IF(LEFT($A$22,5)="Sucti",(B23*2.31+$B$10)-((B22*2.31)+$B$12)))))</f>
        <v/>
      </c>
      <c r="C36" s="18" t="str">
        <f t="shared" si="7"/>
        <v/>
      </c>
      <c r="D36" s="18" t="str">
        <f t="shared" si="7"/>
        <v/>
      </c>
      <c r="E36" s="18" t="str">
        <f t="shared" si="7"/>
        <v/>
      </c>
      <c r="F36" s="18" t="str">
        <f t="shared" si="7"/>
        <v/>
      </c>
      <c r="G36" s="18" t="str">
        <f t="shared" si="7"/>
        <v/>
      </c>
      <c r="H36" s="18" t="str">
        <f t="shared" si="7"/>
        <v/>
      </c>
      <c r="I36" s="18" t="str">
        <f t="shared" si="7"/>
        <v/>
      </c>
      <c r="J36" s="18" t="str">
        <f t="shared" si="7"/>
        <v/>
      </c>
      <c r="K36" s="18" t="str">
        <f t="shared" si="7"/>
        <v/>
      </c>
    </row>
    <row r="37" spans="1:15" x14ac:dyDescent="0.25">
      <c r="A37" s="3" t="s">
        <v>6</v>
      </c>
      <c r="B37" s="19" t="str">
        <f t="shared" ref="B37:K37" si="8">IF(B25="","",B25*1000000/1440)</f>
        <v/>
      </c>
      <c r="C37" s="19" t="str">
        <f t="shared" si="8"/>
        <v/>
      </c>
      <c r="D37" s="19" t="str">
        <f t="shared" si="8"/>
        <v/>
      </c>
      <c r="E37" s="19" t="str">
        <f t="shared" si="8"/>
        <v/>
      </c>
      <c r="F37" s="19" t="str">
        <f t="shared" si="8"/>
        <v/>
      </c>
      <c r="G37" s="19" t="str">
        <f t="shared" si="8"/>
        <v/>
      </c>
      <c r="H37" s="19" t="str">
        <f t="shared" si="8"/>
        <v/>
      </c>
      <c r="I37" s="19" t="str">
        <f t="shared" si="8"/>
        <v/>
      </c>
      <c r="J37" s="19" t="str">
        <f t="shared" si="8"/>
        <v/>
      </c>
      <c r="K37" s="19" t="str">
        <f t="shared" si="8"/>
        <v/>
      </c>
    </row>
    <row r="38" spans="1:15" x14ac:dyDescent="0.25">
      <c r="A38" s="3" t="s">
        <v>8</v>
      </c>
      <c r="B38" s="20" t="str">
        <f>IF(B32&lt;&gt;"",B36*B37/3960/B33,"")</f>
        <v/>
      </c>
      <c r="C38" s="20" t="str">
        <f t="shared" ref="C38:K38" si="9">IF(C32&lt;&gt;"",C36*C37/3960/C33,"")</f>
        <v/>
      </c>
      <c r="D38" s="20" t="str">
        <f t="shared" si="9"/>
        <v/>
      </c>
      <c r="E38" s="20" t="str">
        <f t="shared" si="9"/>
        <v/>
      </c>
      <c r="F38" s="20" t="str">
        <f t="shared" si="9"/>
        <v/>
      </c>
      <c r="G38" s="20" t="str">
        <f t="shared" si="9"/>
        <v/>
      </c>
      <c r="H38" s="20" t="str">
        <f t="shared" si="9"/>
        <v/>
      </c>
      <c r="I38" s="20" t="str">
        <f t="shared" si="9"/>
        <v/>
      </c>
      <c r="J38" s="20" t="str">
        <f t="shared" si="9"/>
        <v/>
      </c>
      <c r="K38" s="20" t="str">
        <f t="shared" si="9"/>
        <v/>
      </c>
    </row>
    <row r="40" spans="1:15" x14ac:dyDescent="0.25">
      <c r="B40" s="22"/>
    </row>
    <row r="41" spans="1:15" x14ac:dyDescent="0.25">
      <c r="B41" s="22"/>
    </row>
    <row r="43" spans="1:15" x14ac:dyDescent="0.25">
      <c r="N43" s="70" t="s">
        <v>69</v>
      </c>
      <c r="O43" s="70"/>
    </row>
    <row r="44" spans="1:15" x14ac:dyDescent="0.25">
      <c r="N44" s="71" t="s">
        <v>61</v>
      </c>
      <c r="O44" s="71"/>
    </row>
    <row r="45" spans="1:15" x14ac:dyDescent="0.25">
      <c r="N45" s="71" t="s">
        <v>59</v>
      </c>
      <c r="O45" s="71"/>
    </row>
    <row r="46" spans="1:15" x14ac:dyDescent="0.25">
      <c r="N46" s="71" t="s">
        <v>64</v>
      </c>
      <c r="O46" s="71"/>
    </row>
    <row r="47" spans="1:15" x14ac:dyDescent="0.25">
      <c r="N47" s="71" t="s">
        <v>65</v>
      </c>
      <c r="O47" s="71"/>
    </row>
    <row r="48" spans="1:15" x14ac:dyDescent="0.25">
      <c r="N48" s="71" t="s">
        <v>66</v>
      </c>
      <c r="O48" s="71"/>
    </row>
    <row r="49" spans="14:15" x14ac:dyDescent="0.25">
      <c r="N49" s="71" t="s">
        <v>67</v>
      </c>
      <c r="O49" s="71"/>
    </row>
    <row r="50" spans="14:15" x14ac:dyDescent="0.25">
      <c r="N50" s="71" t="s">
        <v>68</v>
      </c>
      <c r="O50" s="71"/>
    </row>
    <row r="51" spans="14:15" x14ac:dyDescent="0.25">
      <c r="N51" s="71" t="s">
        <v>63</v>
      </c>
      <c r="O51" s="71"/>
    </row>
    <row r="52" spans="14:15" x14ac:dyDescent="0.25">
      <c r="N52" s="71" t="s">
        <v>62</v>
      </c>
      <c r="O52" s="71"/>
    </row>
    <row r="53" spans="14:15" x14ac:dyDescent="0.25">
      <c r="N53" s="71" t="s">
        <v>60</v>
      </c>
      <c r="O53" s="71"/>
    </row>
  </sheetData>
  <sheetProtection selectLockedCells="1"/>
  <dataConsolidate/>
  <mergeCells count="16">
    <mergeCell ref="H2:K2"/>
    <mergeCell ref="M2:P2"/>
    <mergeCell ref="A4:B4"/>
    <mergeCell ref="A9:B9"/>
    <mergeCell ref="D15:E15"/>
    <mergeCell ref="N53:O53"/>
    <mergeCell ref="N44:O44"/>
    <mergeCell ref="N45:O45"/>
    <mergeCell ref="N46:O46"/>
    <mergeCell ref="N47:O47"/>
    <mergeCell ref="N48:O48"/>
    <mergeCell ref="N43:O43"/>
    <mergeCell ref="N49:O49"/>
    <mergeCell ref="N50:O50"/>
    <mergeCell ref="N51:O51"/>
    <mergeCell ref="N52:O52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1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2" xr:uid="{00000000-0002-0000-0000-000001000000}"/>
  </dataValidations>
  <hyperlinks>
    <hyperlink ref="N15" r:id="rId1" xr:uid="{4105EF62-DED0-438A-994C-F6C22E908196}"/>
  </hyperlinks>
  <pageMargins left="0.47" right="0.34" top="0.28999999999999998" bottom="0.17" header="0.26" footer="0.17"/>
  <pageSetup scale="9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in">
                <anchor moveWithCells="1">
                  <from>
                    <xdr:col>14</xdr:col>
                    <xdr:colOff>361950</xdr:colOff>
                    <xdr:row>28</xdr:row>
                    <xdr:rowOff>152400</xdr:rowOff>
                  </from>
                  <to>
                    <xdr:col>15</xdr:col>
                    <xdr:colOff>123825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in">
                <anchor moveWithCells="1" sizeWithCells="1">
                  <from>
                    <xdr:col>2</xdr:col>
                    <xdr:colOff>180975</xdr:colOff>
                    <xdr:row>0</xdr:row>
                    <xdr:rowOff>257175</xdr:rowOff>
                  </from>
                  <to>
                    <xdr:col>3</xdr:col>
                    <xdr:colOff>771525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PAUEngineerTemplate</vt:lpstr>
      <vt:lpstr>https___pump_assessment_utility.herokuapp.com</vt:lpstr>
      <vt:lpstr>localhost</vt:lpstr>
      <vt:lpstr>PAUEngineerTemplate!Print_Area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2018-07-11T01:58:31Z</dcterms:modified>
</cp:coreProperties>
</file>