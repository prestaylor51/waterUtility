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0CF75E9B-8640-47A7-A288-59F884EF7D41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</sheets>
  <definedNames>
    <definedName name="https___pump_assessment_utility.herokuapp.com">PAUEngineerTemplate!$N$14</definedName>
    <definedName name="localhost">PAUEngineerTemplate!$N$15</definedName>
    <definedName name="_xlnm.Print_Area" localSheetId="0">PAUEngineerTemplate!$A$1:$L$36</definedName>
  </definedNames>
  <calcPr calcId="179017"/>
</workbook>
</file>

<file path=xl/calcChain.xml><?xml version="1.0" encoding="utf-8"?>
<calcChain xmlns="http://schemas.openxmlformats.org/spreadsheetml/2006/main">
  <c r="E16" i="36" l="1"/>
  <c r="K36" i="36" l="1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B35" i="36"/>
  <c r="K34" i="36"/>
  <c r="J34" i="36"/>
  <c r="I34" i="36"/>
  <c r="H34" i="36"/>
  <c r="G34" i="36"/>
  <c r="F34" i="36"/>
  <c r="E34" i="36"/>
  <c r="D34" i="36"/>
  <c r="C34" i="36"/>
  <c r="C31" i="36" s="1"/>
  <c r="C37" i="36" s="1"/>
  <c r="B34" i="36"/>
  <c r="A34" i="36"/>
  <c r="K33" i="36"/>
  <c r="J33" i="36"/>
  <c r="I33" i="36"/>
  <c r="H33" i="36"/>
  <c r="G33" i="36"/>
  <c r="F33" i="36"/>
  <c r="F31" i="36" s="1"/>
  <c r="E33" i="36"/>
  <c r="E31" i="36" s="1"/>
  <c r="E37" i="36" s="1"/>
  <c r="D33" i="36"/>
  <c r="C33" i="36"/>
  <c r="B33" i="36"/>
  <c r="A33" i="36"/>
  <c r="I31" i="36"/>
  <c r="I37" i="36" s="1"/>
  <c r="G31" i="36"/>
  <c r="G37" i="36" s="1"/>
  <c r="A21" i="36"/>
  <c r="O11" i="36" s="1"/>
  <c r="I12" i="36"/>
  <c r="I11" i="36"/>
  <c r="I10" i="36"/>
  <c r="I9" i="36"/>
  <c r="O8" i="36"/>
  <c r="I8" i="36"/>
  <c r="I7" i="36"/>
  <c r="I6" i="36"/>
  <c r="I5" i="36"/>
  <c r="O4" i="36"/>
  <c r="I4" i="36"/>
  <c r="B4" i="36"/>
  <c r="I3" i="36"/>
  <c r="M1" i="36"/>
  <c r="O10" i="36" l="1"/>
  <c r="N3" i="36"/>
  <c r="O5" i="36"/>
  <c r="O6" i="36"/>
  <c r="O7" i="36"/>
  <c r="K31" i="36"/>
  <c r="K37" i="36" s="1"/>
  <c r="P12" i="36" s="1"/>
  <c r="O9" i="36"/>
  <c r="O12" i="36"/>
  <c r="B31" i="36"/>
  <c r="J31" i="36"/>
  <c r="J37" i="36" s="1"/>
  <c r="P11" i="36" s="1"/>
  <c r="D31" i="36"/>
  <c r="H31" i="36"/>
  <c r="H32" i="36" s="1"/>
  <c r="I32" i="36"/>
  <c r="E32" i="36"/>
  <c r="B37" i="36"/>
  <c r="P3" i="36" s="1"/>
  <c r="B32" i="36"/>
  <c r="F37" i="36"/>
  <c r="P7" i="36" s="1"/>
  <c r="F32" i="36"/>
  <c r="J32" i="36"/>
  <c r="D37" i="36"/>
  <c r="P5" i="36" s="1"/>
  <c r="D32" i="36"/>
  <c r="H37" i="36"/>
  <c r="P9" i="36" s="1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C32" i="36"/>
  <c r="G32" i="36"/>
  <c r="K32" i="36" l="1"/>
</calcChain>
</file>

<file path=xl/sharedStrings.xml><?xml version="1.0" encoding="utf-8"?>
<sst xmlns="http://schemas.openxmlformats.org/spreadsheetml/2006/main" count="85" uniqueCount="79">
  <si>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</si>
  <si>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</si>
  <si>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</si>
  <si>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</si>
  <si>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</si>
  <si>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</si>
  <si>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</si>
  <si>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</si>
  <si>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</si>
  <si>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</si>
  <si>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</si>
  <si>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</si>
  <si>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</si>
  <si>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</si>
  <si>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</si>
  <si>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</si>
  <si>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</si>
  <si>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</si>
  <si>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</si>
  <si>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</si>
  <si>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</si>
  <si>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</si>
  <si>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</si>
  <si>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</si>
  <si>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</si>
  <si>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</si>
  <si>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</si>
  <si>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</si>
  <si>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</si>
  <si>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</si>
  <si>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</si>
  <si>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</si>
  <si>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</si>
  <si>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</si>
  <si>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</si>
  <si>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</si>
  <si>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</si>
  <si>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</si>
  <si>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</si>
  <si>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</si>
  <si>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</si>
  <si>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</si>
  <si>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</si>
  <si>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</si>
  <si>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</si>
  <si>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</si>
  <si>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</si>
  <si>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</si>
  <si>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</si>
  <si>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</si>
  <si>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</si>
  <si>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</si>
  <si>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</si>
  <si>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</si>
  <si>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</si>
  <si>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</si>
  <si>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</si>
  <si>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</si>
  <si>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</si>
  <si>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</si>
  <si>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</si>
  <si>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</si>
  <si>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</si>
  <si>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</si>
  <si>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</si>
  <si>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</si>
  <si>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</si>
  <si>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</si>
  <si>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</si>
  <si>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</si>
  <si>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</si>
  <si>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</si>
  <si>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</si>
  <si>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</si>
  <si>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</si>
  <si>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</si>
  <si>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</si>
  <si>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https://pump-assessment-utility.herokuapp.com/</t>
  </si>
  <si>
    <t>http://localhost:3000/InsertPumpTest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</si>
</sst>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7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0" fillId="0" borderId="0" xfId="0" applyAlignment="1"/>
    <xf numFmtId="0" fontId="11" fillId="0" borderId="0" xfId="3" applyAlignment="1"/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PAUEngineerTemplate!$B$24:$K$24</c:f>
              <c:numCache>
                <c:formatCode>0.00</c:formatCode>
                <c:ptCount val="10"/>
              </c:numCache>
            </c:numRef>
          </c:xVal>
          <c:yVal>
            <c:numRef>
              <c:f>PAUEngineerTemplate!$B$35:$K$35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PAUEngineerTemplate!$B$6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PAUEngineerTemplate!$K$3:$K$12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PAUEngineerTemplate!$B$24:$F$24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PAUEngineerTemplate!$B$24:$F$24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PAUEngineerTemplate!$B$6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PAUEngineerTemplate!$B$24:$F$24</c:f>
              <c:numCache>
                <c:formatCode>0.00</c:formatCode>
                <c:ptCount val="5"/>
              </c:numCache>
            </c:numRef>
          </c:xVal>
          <c:yVal>
            <c:numRef>
              <c:f>PAUEngineerTemplate!$B$34:$F$34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PAUEngineerTemplate!$B$24:$F$24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PAUEngineerTemplate!$B$6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PAUEngineerTemplate!$B$24:$F$24</c:f>
              <c:numCache>
                <c:formatCode>0.00</c:formatCode>
                <c:ptCount val="5"/>
              </c:numCache>
            </c:numRef>
          </c:xVal>
          <c:yVal>
            <c:numRef>
              <c:f>PAUEngineerTemplate!$B$33:$F$33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D834C4C6-E9F5-4171-8519-A874ACF373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7E5803-2524-443D-82FC-E9ECBF693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043784-E692-4022-8E0D-C39A44E34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849FF19-0103-47DF-AEEB-3DE7465CF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361950</xdr:colOff>
          <xdr:row>27</xdr:row>
          <xdr:rowOff>152400</xdr:rowOff>
        </xdr:from>
        <xdr:to>
          <xdr:col>15</xdr:col>
          <xdr:colOff>123825</xdr:colOff>
          <xdr:row>31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7D3EE92-0FB5-48D1-ACD9-DBD2F2305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ump-assessment-utility.herokuap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2"/>
  <sheetViews>
    <sheetView tabSelected="1" zoomScaleNormal="100" workbookViewId="0">
      <selection activeCell="P17" sqref="P17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73" t="s">
        <v>60</v>
      </c>
      <c r="C1" s="76">
        <v>1</v>
      </c>
      <c r="D1" s="4"/>
      <c r="E1" s="4"/>
      <c r="G1" s="4"/>
      <c r="H1" s="64" t="s">
        <v>11</v>
      </c>
      <c r="I1" s="65"/>
      <c r="J1" s="65"/>
      <c r="K1" s="66"/>
      <c r="M1" s="64" t="str">
        <f>B16&amp;" "&amp;B17&amp;" Transposed for Model Use"</f>
        <v>Test Pump Curve  Transposed for Model Use</v>
      </c>
      <c r="N1" s="65"/>
      <c r="O1" s="65"/>
      <c r="P1" s="66"/>
    </row>
    <row r="2" spans="1:18" ht="16.5" thickBot="1" x14ac:dyDescent="0.3">
      <c r="A2" s="6"/>
      <c r="B2" s="14"/>
      <c r="D2" s="8" t="s">
        <v>17</v>
      </c>
      <c r="E2" s="13" t="s">
        <v>65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8" ht="15.75" customHeight="1" x14ac:dyDescent="0.25">
      <c r="A3" s="67" t="s">
        <v>13</v>
      </c>
      <c r="B3" s="68"/>
      <c r="D3" s="9" t="s">
        <v>19</v>
      </c>
      <c r="E3" s="74" t="s">
        <v>58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 t="str">
        <f t="shared" ref="N3:P12" si="1">VLOOKUP(N$2,$A$18:$K$37,1+$M3,FALSE)</f>
        <v/>
      </c>
      <c r="O3" s="32">
        <f t="shared" si="1"/>
        <v>0</v>
      </c>
      <c r="P3" s="48" t="str">
        <f t="shared" si="1"/>
        <v/>
      </c>
      <c r="Q3" s="59"/>
    </row>
    <row r="4" spans="1:18" ht="15.75" customHeight="1" x14ac:dyDescent="0.25">
      <c r="A4" s="25" t="s">
        <v>14</v>
      </c>
      <c r="B4" s="29">
        <f>B5*1440/1000000</f>
        <v>8.0063999999999993</v>
      </c>
      <c r="D4" s="9" t="s">
        <v>62</v>
      </c>
      <c r="E4" s="75" t="s">
        <v>63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8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64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8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s="15" customFormat="1" ht="15" customHeight="1" x14ac:dyDescent="0.25">
      <c r="A8" s="67" t="s">
        <v>55</v>
      </c>
      <c r="B8" s="68"/>
      <c r="D8" s="9" t="s">
        <v>22</v>
      </c>
      <c r="E8" s="36" t="s">
        <v>64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8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8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ht="15.75" thickBot="1" x14ac:dyDescent="0.3">
      <c r="A12" s="56" t="s">
        <v>32</v>
      </c>
      <c r="B12" s="35" t="s">
        <v>61</v>
      </c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8" x14ac:dyDescent="0.25">
      <c r="C13" s="21"/>
      <c r="G13" s="21"/>
    </row>
    <row r="14" spans="1:18" x14ac:dyDescent="0.25">
      <c r="C14" s="21"/>
      <c r="D14" s="69" t="s">
        <v>59</v>
      </c>
      <c r="E14" s="70"/>
      <c r="G14" s="21"/>
      <c r="J14" s="38" t="s">
        <v>52</v>
      </c>
      <c r="K14" s="33"/>
      <c r="N14" s="78" t="s">
        <v>77</v>
      </c>
      <c r="O14" s="77"/>
      <c r="P14" s="77"/>
      <c r="Q14" s="77"/>
    </row>
    <row r="15" spans="1:18" x14ac:dyDescent="0.25">
      <c r="C15" s="21"/>
      <c r="D15" s="10" t="s">
        <v>14</v>
      </c>
      <c r="E15" s="61">
        <v>8.82</v>
      </c>
      <c r="G15" s="21"/>
      <c r="J15" s="38" t="s">
        <v>53</v>
      </c>
      <c r="K15" s="28"/>
      <c r="N15" s="77" t="s">
        <v>78</v>
      </c>
      <c r="O15" s="77"/>
      <c r="P15" s="77"/>
      <c r="Q15" s="77"/>
    </row>
    <row r="16" spans="1:18" ht="15.75" x14ac:dyDescent="0.25">
      <c r="A16" s="1"/>
      <c r="B16" s="27" t="s">
        <v>50</v>
      </c>
      <c r="D16" s="10" t="s">
        <v>15</v>
      </c>
      <c r="E16" s="28">
        <f>E15*1000000/1440</f>
        <v>6125</v>
      </c>
      <c r="J16" s="38" t="s">
        <v>54</v>
      </c>
      <c r="K16" s="17"/>
    </row>
    <row r="17" spans="1:12" ht="15.75" customHeight="1" x14ac:dyDescent="0.25">
      <c r="A17" s="16" t="s">
        <v>1</v>
      </c>
      <c r="B17" s="60"/>
      <c r="C17" s="21"/>
      <c r="F17" s="21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41</v>
      </c>
      <c r="K18" s="2" t="s">
        <v>42</v>
      </c>
    </row>
    <row r="19" spans="1:12" x14ac:dyDescent="0.25">
      <c r="A19" s="3" t="s">
        <v>2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7"/>
    </row>
    <row r="20" spans="1:12" x14ac:dyDescent="0.25">
      <c r="A20" s="3" t="s">
        <v>40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7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7"/>
    </row>
    <row r="22" spans="1:12" x14ac:dyDescent="0.25">
      <c r="A22" s="3" t="s">
        <v>44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12" x14ac:dyDescent="0.25">
      <c r="A23" s="3" t="s">
        <v>47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7"/>
    </row>
    <row r="24" spans="1:12" x14ac:dyDescent="0.25">
      <c r="A24" s="3" t="s">
        <v>3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</row>
    <row r="25" spans="1:12" x14ac:dyDescent="0.25">
      <c r="A25" s="3" t="s">
        <v>33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</row>
    <row r="26" spans="1:12" x14ac:dyDescent="0.25">
      <c r="A26" s="3" t="s">
        <v>34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</row>
    <row r="27" spans="1:12" x14ac:dyDescent="0.25">
      <c r="A27" s="3" t="s">
        <v>35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1:12" x14ac:dyDescent="0.25">
      <c r="A28" s="3" t="s">
        <v>36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1:12" x14ac:dyDescent="0.25">
      <c r="A29" s="3" t="s">
        <v>37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1:12" x14ac:dyDescent="0.25">
      <c r="A30" s="3" t="s">
        <v>38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1:12" x14ac:dyDescent="0.25">
      <c r="A31" s="3" t="s">
        <v>4</v>
      </c>
      <c r="B31" s="18" t="str">
        <f t="shared" ref="B31:K31" si="3">IF(ISERR((B34*B33*$E$10*1.732)/1000)=FALSE,(B34*B33*$E$10*1.732)/1000,"")</f>
        <v/>
      </c>
      <c r="C31" s="18" t="str">
        <f t="shared" si="3"/>
        <v/>
      </c>
      <c r="D31" s="18" t="str">
        <f t="shared" si="3"/>
        <v/>
      </c>
      <c r="E31" s="18" t="str">
        <f t="shared" si="3"/>
        <v/>
      </c>
      <c r="F31" s="18" t="str">
        <f t="shared" si="3"/>
        <v/>
      </c>
      <c r="G31" s="18" t="str">
        <f t="shared" si="3"/>
        <v/>
      </c>
      <c r="H31" s="18" t="str">
        <f t="shared" si="3"/>
        <v/>
      </c>
      <c r="I31" s="18" t="str">
        <f t="shared" si="3"/>
        <v/>
      </c>
      <c r="J31" s="18" t="str">
        <f t="shared" si="3"/>
        <v/>
      </c>
      <c r="K31" s="18" t="str">
        <f t="shared" si="3"/>
        <v/>
      </c>
    </row>
    <row r="32" spans="1:12" x14ac:dyDescent="0.25">
      <c r="A32" s="3" t="s">
        <v>7</v>
      </c>
      <c r="B32" s="19" t="str">
        <f>IF(B31&lt;&gt;"",1.341*B31,"")</f>
        <v/>
      </c>
      <c r="C32" s="19" t="str">
        <f t="shared" ref="C32:K32" si="4">IF(C31&lt;&gt;"",1.341*C31,"")</f>
        <v/>
      </c>
      <c r="D32" s="19" t="str">
        <f t="shared" si="4"/>
        <v/>
      </c>
      <c r="E32" s="19" t="str">
        <f t="shared" si="4"/>
        <v/>
      </c>
      <c r="F32" s="19" t="str">
        <f t="shared" si="4"/>
        <v/>
      </c>
      <c r="G32" s="19" t="str">
        <f t="shared" si="4"/>
        <v/>
      </c>
      <c r="H32" s="19" t="str">
        <f t="shared" si="4"/>
        <v/>
      </c>
      <c r="I32" s="19" t="str">
        <f t="shared" si="4"/>
        <v/>
      </c>
      <c r="J32" s="19" t="str">
        <f t="shared" si="4"/>
        <v/>
      </c>
      <c r="K32" s="19" t="str">
        <f t="shared" si="4"/>
        <v/>
      </c>
    </row>
    <row r="33" spans="1:15" x14ac:dyDescent="0.25">
      <c r="A33" s="3" t="str">
        <f>"Ave. Amps "  &amp; B17</f>
        <v xml:space="preserve">Ave. Amps </v>
      </c>
      <c r="B33" s="19" t="str">
        <f>IF(B25&lt;&gt;"",AVERAGE(B25:B27),"")</f>
        <v/>
      </c>
      <c r="C33" s="19" t="str">
        <f t="shared" ref="C33:K33" si="5">IF(C25&lt;&gt;"",AVERAGE(C25:C27),"")</f>
        <v/>
      </c>
      <c r="D33" s="19" t="str">
        <f t="shared" si="5"/>
        <v/>
      </c>
      <c r="E33" s="19" t="str">
        <f t="shared" si="5"/>
        <v/>
      </c>
      <c r="F33" s="19" t="str">
        <f t="shared" si="5"/>
        <v/>
      </c>
      <c r="G33" s="19" t="str">
        <f t="shared" si="5"/>
        <v/>
      </c>
      <c r="H33" s="19" t="str">
        <f t="shared" si="5"/>
        <v/>
      </c>
      <c r="I33" s="19" t="str">
        <f t="shared" si="5"/>
        <v/>
      </c>
      <c r="J33" s="19" t="str">
        <f t="shared" si="5"/>
        <v/>
      </c>
      <c r="K33" s="19" t="str">
        <f t="shared" si="5"/>
        <v/>
      </c>
    </row>
    <row r="34" spans="1:15" x14ac:dyDescent="0.25">
      <c r="A34" s="24" t="str">
        <f>"Ave. Volts "&amp; B17</f>
        <v xml:space="preserve">Ave. Volts </v>
      </c>
      <c r="B34" s="23" t="str">
        <f>IF(ISERR(AVERAGE(B28:B30))=FALSE,AVERAGE(B28:B30),"")</f>
        <v/>
      </c>
      <c r="C34" s="23" t="str">
        <f t="shared" ref="C34:K34" si="6">IF(ISERR(AVERAGE(C28:C30))=FALSE,AVERAGE(C28:C30),"")</f>
        <v/>
      </c>
      <c r="D34" s="23" t="str">
        <f t="shared" si="6"/>
        <v/>
      </c>
      <c r="E34" s="23" t="str">
        <f t="shared" si="6"/>
        <v/>
      </c>
      <c r="F34" s="23" t="str">
        <f t="shared" si="6"/>
        <v/>
      </c>
      <c r="G34" s="23" t="str">
        <f t="shared" si="6"/>
        <v/>
      </c>
      <c r="H34" s="23" t="str">
        <f t="shared" si="6"/>
        <v/>
      </c>
      <c r="I34" s="23" t="str">
        <f t="shared" si="6"/>
        <v/>
      </c>
      <c r="J34" s="23" t="str">
        <f t="shared" si="6"/>
        <v/>
      </c>
      <c r="K34" s="23" t="str">
        <f t="shared" si="6"/>
        <v/>
      </c>
    </row>
    <row r="35" spans="1:15" x14ac:dyDescent="0.25">
      <c r="A35" s="3" t="s">
        <v>5</v>
      </c>
      <c r="B35" s="18" t="str">
        <f t="shared" ref="B35:K35" si="7">IF(B22="","",IF(LEFT($A$21,5)="Error","Suction Type?",IF(LEFT($A$21,5)="Reser",(B22*2.31+$B$9)-(B21+$B$10),IF(LEFT($A$21,5)="Sucti",(B22*2.31+$B$9)-((B21*2.31)+$B$11)))))</f>
        <v/>
      </c>
      <c r="C35" s="18" t="str">
        <f t="shared" si="7"/>
        <v/>
      </c>
      <c r="D35" s="18" t="str">
        <f t="shared" si="7"/>
        <v/>
      </c>
      <c r="E35" s="18" t="str">
        <f t="shared" si="7"/>
        <v/>
      </c>
      <c r="F35" s="18" t="str">
        <f t="shared" si="7"/>
        <v/>
      </c>
      <c r="G35" s="18" t="str">
        <f t="shared" si="7"/>
        <v/>
      </c>
      <c r="H35" s="18" t="str">
        <f t="shared" si="7"/>
        <v/>
      </c>
      <c r="I35" s="18" t="str">
        <f t="shared" si="7"/>
        <v/>
      </c>
      <c r="J35" s="18" t="str">
        <f t="shared" si="7"/>
        <v/>
      </c>
      <c r="K35" s="18" t="str">
        <f t="shared" si="7"/>
        <v/>
      </c>
    </row>
    <row r="36" spans="1:15" x14ac:dyDescent="0.25">
      <c r="A36" s="3" t="s">
        <v>6</v>
      </c>
      <c r="B36" s="19" t="str">
        <f t="shared" ref="B36:K36" si="8">IF(B24="","",B24*1000000/1440)</f>
        <v/>
      </c>
      <c r="C36" s="19" t="str">
        <f t="shared" si="8"/>
        <v/>
      </c>
      <c r="D36" s="19" t="str">
        <f t="shared" si="8"/>
        <v/>
      </c>
      <c r="E36" s="19" t="str">
        <f t="shared" si="8"/>
        <v/>
      </c>
      <c r="F36" s="19" t="str">
        <f t="shared" si="8"/>
        <v/>
      </c>
      <c r="G36" s="19" t="str">
        <f t="shared" si="8"/>
        <v/>
      </c>
      <c r="H36" s="19" t="str">
        <f t="shared" si="8"/>
        <v/>
      </c>
      <c r="I36" s="19" t="str">
        <f t="shared" si="8"/>
        <v/>
      </c>
      <c r="J36" s="19" t="str">
        <f t="shared" si="8"/>
        <v/>
      </c>
      <c r="K36" s="19" t="str">
        <f t="shared" si="8"/>
        <v/>
      </c>
    </row>
    <row r="37" spans="1:15" x14ac:dyDescent="0.25">
      <c r="A37" s="3" t="s">
        <v>8</v>
      </c>
      <c r="B37" s="20" t="str">
        <f>IF(B31&lt;&gt;"",B35*B36/3960/B32,"")</f>
        <v/>
      </c>
      <c r="C37" s="20" t="str">
        <f t="shared" ref="C37:K37" si="9">IF(C31&lt;&gt;"",C35*C36/3960/C32,"")</f>
        <v/>
      </c>
      <c r="D37" s="20" t="str">
        <f t="shared" si="9"/>
        <v/>
      </c>
      <c r="E37" s="20" t="str">
        <f t="shared" si="9"/>
        <v/>
      </c>
      <c r="F37" s="20" t="str">
        <f t="shared" si="9"/>
        <v/>
      </c>
      <c r="G37" s="20" t="str">
        <f t="shared" si="9"/>
        <v/>
      </c>
      <c r="H37" s="20" t="str">
        <f t="shared" si="9"/>
        <v/>
      </c>
      <c r="I37" s="20" t="str">
        <f t="shared" si="9"/>
        <v/>
      </c>
      <c r="J37" s="20" t="str">
        <f t="shared" si="9"/>
        <v/>
      </c>
      <c r="K37" s="20" t="str">
        <f t="shared" si="9"/>
        <v/>
      </c>
    </row>
    <row r="39" spans="1:15" x14ac:dyDescent="0.25">
      <c r="B39" s="22"/>
    </row>
    <row r="40" spans="1:15" x14ac:dyDescent="0.25">
      <c r="B40" s="22"/>
    </row>
    <row r="42" spans="1:15" x14ac:dyDescent="0.25">
      <c r="N42" s="72" t="s">
        <v>76</v>
      </c>
      <c r="O42" s="72"/>
    </row>
    <row r="43" spans="1:15" x14ac:dyDescent="0.25">
      <c r="N43" s="71" t="s">
        <v>68</v>
      </c>
      <c r="O43" s="71"/>
    </row>
    <row r="44" spans="1:15" x14ac:dyDescent="0.25">
      <c r="N44" s="71" t="s">
        <v>66</v>
      </c>
      <c r="O44" s="71"/>
    </row>
    <row r="45" spans="1:15" x14ac:dyDescent="0.25">
      <c r="N45" s="71" t="s">
        <v>71</v>
      </c>
      <c r="O45" s="71"/>
    </row>
    <row r="46" spans="1:15" x14ac:dyDescent="0.25">
      <c r="N46" s="71" t="s">
        <v>72</v>
      </c>
      <c r="O46" s="71"/>
    </row>
    <row r="47" spans="1:15" x14ac:dyDescent="0.25">
      <c r="N47" s="71" t="s">
        <v>73</v>
      </c>
      <c r="O47" s="71"/>
    </row>
    <row r="48" spans="1:15" x14ac:dyDescent="0.25">
      <c r="N48" s="71" t="s">
        <v>74</v>
      </c>
      <c r="O48" s="71"/>
    </row>
    <row r="49" spans="14:15" x14ac:dyDescent="0.25">
      <c r="N49" s="71" t="s">
        <v>75</v>
      </c>
      <c r="O49" s="71"/>
    </row>
    <row r="50" spans="14:15" x14ac:dyDescent="0.25">
      <c r="N50" s="71" t="s">
        <v>70</v>
      </c>
      <c r="O50" s="71"/>
    </row>
    <row r="51" spans="14:15" x14ac:dyDescent="0.25">
      <c r="N51" s="71" t="s">
        <v>69</v>
      </c>
      <c r="O51" s="71"/>
    </row>
    <row r="52" spans="14:15" x14ac:dyDescent="0.25">
      <c r="N52" s="71" t="s">
        <v>67</v>
      </c>
      <c r="O52" s="71"/>
    </row>
  </sheetData>
  <sheetProtection selectLockedCells="1"/>
  <dataConsolidate/>
  <mergeCells count="16">
    <mergeCell ref="N42:O42"/>
    <mergeCell ref="N48:O48"/>
    <mergeCell ref="N49:O49"/>
    <mergeCell ref="N50:O50"/>
    <mergeCell ref="N51:O51"/>
    <mergeCell ref="N52:O52"/>
    <mergeCell ref="N43:O43"/>
    <mergeCell ref="N44:O44"/>
    <mergeCell ref="N45:O45"/>
    <mergeCell ref="N46:O46"/>
    <mergeCell ref="N47:O47"/>
    <mergeCell ref="H1:K1"/>
    <mergeCell ref="M1:P1"/>
    <mergeCell ref="A3:B3"/>
    <mergeCell ref="A8:B8"/>
    <mergeCell ref="D14:E1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4" r:id="rId1" xr:uid="{4105EF62-DED0-438A-994C-F6C22E908196}"/>
  </hyperlinks>
  <pageMargins left="0.47" right="0.34" top="0.28999999999999998" bottom="0.17" header="0.26" footer="0.17"/>
  <pageSetup scale="9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n">
                <anchor moveWithCells="1">
                  <from>
                    <xdr:col>14</xdr:col>
                    <xdr:colOff>361950</xdr:colOff>
                    <xdr:row>27</xdr:row>
                    <xdr:rowOff>152400</xdr:rowOff>
                  </from>
                  <to>
                    <xdr:col>15</xdr:col>
                    <xdr:colOff>123825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PAUEngineerTemplate</vt:lpstr>
      <vt:lpstr>https___pump_assessment_utility.herokuapp.com</vt:lpstr>
      <vt:lpstr>localhost</vt:lpstr>
      <vt:lpstr>PAUEngineerTemplate!Print_Area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2018-07-10T03:58:28Z</dcterms:modified>
</cp:coreProperties>
</file>