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8726C539-A6A2-46B1-B039-52DF66FBF50A}" xr6:coauthVersionLast="34" xr6:coauthVersionMax="34" xr10:uidLastSave="{00000000-0000-0000-0000-000000000000}"/>
  <bookViews>
    <workbookView xWindow="0" yWindow="0" windowWidth="28800" windowHeight="13770" tabRatio="365" xr2:uid="{00000000-000D-0000-FFFF-FFFF00000000}"/>
  </bookViews>
  <sheets>
    <sheet name="PAUTestEntry" sheetId="36" r:id="rId1"/>
  </sheets>
  <functionGroups builtInGroupCount="19"/>
  <definedNames>
    <definedName name="_xlnm.Print_Area" localSheetId="0">PAUTestEntry!$A$1:$L$36</definedName>
    <definedName name="pumpModel" localSheetId="0">PAUTestEntry!$E$3</definedName>
    <definedName name="pumpNumber" localSheetId="0">PAUTestEntry!$C$1</definedName>
    <definedName name="pumpSerial" localSheetId="0">PAUTestEntry!$E$4</definedName>
    <definedName name="stationNumber" localSheetId="0">PAUTestEntry!$B$1</definedName>
    <definedName name="testDate" localSheetId="0">PAUTestEntry!$B$19</definedName>
  </definedNames>
  <calcPr calcId="179017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5" i="36" l="1"/>
  <c r="B35" i="36"/>
  <c r="C35" i="36"/>
  <c r="D35" i="36"/>
  <c r="E35" i="36"/>
  <c r="F35" i="36"/>
  <c r="G35" i="36"/>
  <c r="H35" i="36"/>
  <c r="I35" i="36"/>
  <c r="J35" i="36"/>
  <c r="K35" i="36"/>
  <c r="A36" i="36"/>
  <c r="B36" i="36"/>
  <c r="B33" i="36" s="1"/>
  <c r="C36" i="36"/>
  <c r="D36" i="36"/>
  <c r="E36" i="36"/>
  <c r="F36" i="36"/>
  <c r="G36" i="36"/>
  <c r="H36" i="36"/>
  <c r="I36" i="36"/>
  <c r="J36" i="36"/>
  <c r="K36" i="36"/>
  <c r="C37" i="36"/>
  <c r="D37" i="36"/>
  <c r="E37" i="36"/>
  <c r="F37" i="36"/>
  <c r="G37" i="36"/>
  <c r="H37" i="36"/>
  <c r="I37" i="36"/>
  <c r="J37" i="36"/>
  <c r="K37" i="36"/>
  <c r="B38" i="36"/>
  <c r="C38" i="36"/>
  <c r="D38" i="36"/>
  <c r="E38" i="36"/>
  <c r="F38" i="36"/>
  <c r="G38" i="36"/>
  <c r="H38" i="36"/>
  <c r="I38" i="36"/>
  <c r="J38" i="36"/>
  <c r="K38" i="36"/>
  <c r="C33" i="36" l="1"/>
  <c r="C34" i="36" s="1"/>
  <c r="C39" i="36" s="1"/>
  <c r="J33" i="36"/>
  <c r="J34" i="36" s="1"/>
  <c r="J39" i="36" s="1"/>
  <c r="K33" i="36"/>
  <c r="G33" i="36"/>
  <c r="G34" i="36" s="1"/>
  <c r="G39" i="36" s="1"/>
  <c r="F33" i="36"/>
  <c r="E33" i="36"/>
  <c r="E34" i="36" s="1"/>
  <c r="E39" i="36" s="1"/>
  <c r="D33" i="36"/>
  <c r="D34" i="36" s="1"/>
  <c r="D39" i="36" s="1"/>
  <c r="I33" i="36"/>
  <c r="I34" i="36" s="1"/>
  <c r="H33" i="36"/>
  <c r="H34" i="36" s="1"/>
  <c r="B34" i="36"/>
  <c r="K34" i="36"/>
  <c r="K39" i="36"/>
  <c r="E18" i="36"/>
  <c r="F34" i="36" l="1"/>
  <c r="F39" i="36" s="1"/>
  <c r="I39" i="36"/>
  <c r="H39" i="36"/>
  <c r="A23" i="36"/>
  <c r="B4" i="36"/>
  <c r="B37" i="36" l="1"/>
  <c r="B39" i="36" s="1"/>
</calcChain>
</file>

<file path=xl/sharedStrings.xml><?xml version="1.0" encoding="utf-8"?>
<sst xmlns="http://schemas.openxmlformats.org/spreadsheetml/2006/main" count="57" uniqueCount="54">
  <si>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</si>
  <si>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</si>
  <si>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</si>
  <si>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</si>
  <si>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</si>
  <si>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</si>
  <si>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</si>
  <si>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</si>
  <si>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</si>
  <si>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</si>
  <si>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</si>
  <si>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</si>
  <si>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</si>
  <si>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</si>
  <si>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</si>
  <si>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</si>
  <si>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</si>
  <si>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</si>
  <si>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</si>
  <si>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</si>
  <si>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</si>
  <si>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</si>
  <si>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</si>
  <si>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</si>
  <si>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</si>
  <si>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</si>
  <si>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</si>
  <si>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</si>
  <si>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</si>
  <si>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</si>
  <si>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</si>
  <si>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</si>
  <si>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</si>
  <si>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</si>
  <si>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Test Pump Curve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</si>
  <si>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</si>
  <si>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</si>
  <si>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</si>
  <si>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</si>
  <si>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</si>
  <si>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</si>
  <si>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</si>
  <si>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Falcon Field</t>
  </si>
  <si>
    <t>Serial Number:</t>
  </si>
  <si>
    <t>2018</t>
  </si>
  <si>
    <t>Floway</t>
  </si>
  <si>
    <t>No. of Stages:</t>
  </si>
  <si>
    <t>Impeller Trim:</t>
  </si>
  <si>
    <t>Failed Test Inserts</t>
  </si>
  <si>
    <t>Parameter                 testNo</t>
  </si>
  <si>
    <t>DW18</t>
  </si>
  <si>
    <t>J11HC</t>
  </si>
  <si>
    <t>123456</t>
  </si>
  <si>
    <t>2013-7-25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</si>
</sst>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72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0" fillId="0" borderId="0" xfId="0" applyAlignment="1"/>
    <xf numFmtId="0" fontId="0" fillId="0" borderId="0" xfId="0"/>
    <xf numFmtId="0" fontId="10" fillId="0" borderId="0" xfId="3"/>
    <xf numFmtId="0" fontId="10" fillId="0" borderId="0" xfId="3" applyAlignment="1"/>
    <xf numFmtId="0" fontId="3" fillId="5" borderId="1" xfId="0" applyFont="1" applyFill="1" applyBorder="1"/>
    <xf numFmtId="0" fontId="8" fillId="0" borderId="8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" fillId="0" borderId="9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5" fillId="0" borderId="0" xfId="0" applyNumberFormat="1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ont="1" applyFill="1" applyBorder="1"/>
    <xf numFmtId="1" fontId="0" fillId="3" borderId="1" xfId="0" applyNumberFormat="1" applyFill="1" applyBorder="1" applyAlignment="1" applyProtection="1">
      <alignment horizontal="center"/>
      <protection locked="0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20</xdr:row>
          <xdr:rowOff>9525</xdr:rowOff>
        </xdr:from>
        <xdr:to>
          <xdr:col>13</xdr:col>
          <xdr:colOff>752475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abSelected="1" zoomScale="85" zoomScaleNormal="85" workbookViewId="0">
      <selection activeCell="S22" sqref="S22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9" ht="21" x14ac:dyDescent="0.35">
      <c r="A1" s="5" t="s">
        <v>8</v>
      </c>
      <c r="B1" s="52" t="s">
        <v>50</v>
      </c>
      <c r="C1" s="47">
        <v>1</v>
      </c>
      <c r="D1" s="4"/>
      <c r="E1" s="4"/>
      <c r="G1" s="4"/>
      <c r="H1" s="61"/>
      <c r="I1" s="61"/>
      <c r="J1" s="61"/>
      <c r="K1" s="61"/>
      <c r="L1" s="62"/>
      <c r="M1" s="61"/>
      <c r="N1" s="61"/>
      <c r="O1" s="61"/>
      <c r="P1" s="61"/>
    </row>
    <row r="2" spans="1:19" ht="16.5" thickBot="1" x14ac:dyDescent="0.3">
      <c r="A2" s="6"/>
      <c r="B2" s="12"/>
      <c r="D2" s="8" t="s">
        <v>13</v>
      </c>
      <c r="E2" s="11" t="s">
        <v>45</v>
      </c>
      <c r="G2" s="4"/>
      <c r="H2" s="63"/>
      <c r="I2" s="63"/>
      <c r="J2" s="63"/>
      <c r="K2" s="63"/>
      <c r="L2" s="62"/>
      <c r="M2" s="38"/>
      <c r="N2" s="38"/>
      <c r="O2" s="38"/>
      <c r="P2" s="38"/>
      <c r="Q2" s="38"/>
    </row>
    <row r="3" spans="1:19" ht="15.75" customHeight="1" x14ac:dyDescent="0.25">
      <c r="A3" s="53" t="s">
        <v>9</v>
      </c>
      <c r="B3" s="54"/>
      <c r="D3" s="9" t="s">
        <v>15</v>
      </c>
      <c r="E3" s="46" t="s">
        <v>51</v>
      </c>
      <c r="H3" s="64"/>
      <c r="I3" s="65"/>
      <c r="J3" s="64"/>
      <c r="K3" s="66"/>
      <c r="L3" s="62"/>
      <c r="M3" s="67"/>
      <c r="N3" s="68"/>
      <c r="O3" s="69"/>
      <c r="P3" s="66"/>
      <c r="Q3" s="39"/>
    </row>
    <row r="4" spans="1:19" ht="15.75" customHeight="1" x14ac:dyDescent="0.25">
      <c r="A4" s="23" t="s">
        <v>10</v>
      </c>
      <c r="B4" s="27">
        <f>B5*1440/1000000</f>
        <v>8.0063999999999993</v>
      </c>
      <c r="D4" s="9" t="s">
        <v>43</v>
      </c>
      <c r="E4" s="45" t="s">
        <v>52</v>
      </c>
      <c r="H4" s="64"/>
      <c r="I4" s="65"/>
      <c r="J4" s="64"/>
      <c r="K4" s="66"/>
      <c r="L4" s="62"/>
      <c r="M4" s="67"/>
      <c r="N4" s="68"/>
      <c r="O4" s="69"/>
      <c r="P4" s="66"/>
      <c r="Q4" s="39"/>
    </row>
    <row r="5" spans="1:19" ht="16.5" customHeight="1" x14ac:dyDescent="0.25">
      <c r="A5" s="23" t="s">
        <v>11</v>
      </c>
      <c r="B5" s="29">
        <v>5560</v>
      </c>
      <c r="C5" s="19"/>
      <c r="D5" s="9" t="s">
        <v>17</v>
      </c>
      <c r="E5" s="31" t="s">
        <v>44</v>
      </c>
      <c r="H5" s="64"/>
      <c r="I5" s="65"/>
      <c r="J5" s="64"/>
      <c r="K5" s="66"/>
      <c r="L5" s="62"/>
      <c r="M5" s="67"/>
      <c r="N5" s="68"/>
      <c r="O5" s="69"/>
      <c r="P5" s="66"/>
      <c r="Q5" s="39"/>
    </row>
    <row r="6" spans="1:19" ht="15.75" thickBot="1" x14ac:dyDescent="0.3">
      <c r="A6" s="24" t="s">
        <v>12</v>
      </c>
      <c r="B6" s="30">
        <v>120</v>
      </c>
      <c r="D6" s="8" t="s">
        <v>14</v>
      </c>
      <c r="E6" s="11">
        <v>250</v>
      </c>
      <c r="H6" s="64"/>
      <c r="I6" s="65"/>
      <c r="J6" s="64"/>
      <c r="K6" s="66"/>
      <c r="L6" s="62"/>
      <c r="M6" s="67"/>
      <c r="N6" s="68"/>
      <c r="O6" s="69"/>
      <c r="P6" s="66"/>
      <c r="Q6" s="39"/>
    </row>
    <row r="7" spans="1:19" ht="15.75" thickBot="1" x14ac:dyDescent="0.3">
      <c r="D7" s="8" t="s">
        <v>16</v>
      </c>
      <c r="E7" s="11">
        <v>4160</v>
      </c>
      <c r="H7" s="64"/>
      <c r="I7" s="65"/>
      <c r="J7" s="64"/>
      <c r="K7" s="66"/>
      <c r="L7" s="62"/>
      <c r="M7" s="67"/>
      <c r="N7" s="68"/>
      <c r="O7" s="69"/>
      <c r="P7" s="66"/>
      <c r="Q7" s="39"/>
    </row>
    <row r="8" spans="1:19" s="13" customFormat="1" ht="15" customHeight="1" x14ac:dyDescent="0.25">
      <c r="A8" s="53" t="s">
        <v>38</v>
      </c>
      <c r="B8" s="54"/>
      <c r="D8" s="9" t="s">
        <v>18</v>
      </c>
      <c r="E8" s="31" t="s">
        <v>44</v>
      </c>
      <c r="G8"/>
      <c r="H8" s="64"/>
      <c r="I8" s="65"/>
      <c r="J8" s="64"/>
      <c r="K8" s="66"/>
      <c r="L8" s="70"/>
      <c r="M8" s="67"/>
      <c r="N8" s="68"/>
      <c r="O8" s="69"/>
      <c r="P8" s="66"/>
      <c r="Q8"/>
      <c r="R8"/>
    </row>
    <row r="9" spans="1:19" x14ac:dyDescent="0.25">
      <c r="A9" s="33" t="s">
        <v>30</v>
      </c>
      <c r="B9" s="37">
        <v>1473</v>
      </c>
      <c r="D9" s="8" t="s">
        <v>26</v>
      </c>
      <c r="E9" s="11">
        <v>1785</v>
      </c>
      <c r="H9" s="64"/>
      <c r="I9" s="65"/>
      <c r="J9" s="64"/>
      <c r="K9" s="66"/>
      <c r="L9" s="62"/>
      <c r="M9" s="67"/>
      <c r="N9" s="68"/>
      <c r="O9" s="69"/>
      <c r="P9" s="66"/>
    </row>
    <row r="10" spans="1:19" x14ac:dyDescent="0.25">
      <c r="A10" s="35" t="s">
        <v>28</v>
      </c>
      <c r="B10" s="37">
        <v>1444.5</v>
      </c>
      <c r="C10" s="19"/>
      <c r="D10" s="8" t="s">
        <v>39</v>
      </c>
      <c r="E10" s="11">
        <v>0.8</v>
      </c>
      <c r="H10" s="64"/>
      <c r="I10" s="65"/>
      <c r="J10" s="64"/>
      <c r="K10" s="66"/>
      <c r="L10" s="62"/>
      <c r="M10" s="67"/>
      <c r="N10" s="68"/>
      <c r="O10" s="69"/>
      <c r="P10" s="66"/>
    </row>
    <row r="11" spans="1:19" x14ac:dyDescent="0.25">
      <c r="A11" s="35" t="s">
        <v>31</v>
      </c>
      <c r="B11" s="34" t="s">
        <v>33</v>
      </c>
      <c r="D11" s="8" t="s">
        <v>40</v>
      </c>
      <c r="E11" s="11">
        <v>0.9</v>
      </c>
      <c r="H11" s="64"/>
      <c r="I11" s="65"/>
      <c r="J11" s="64"/>
      <c r="K11" s="66"/>
      <c r="L11" s="62"/>
      <c r="M11" s="67"/>
      <c r="N11" s="68"/>
      <c r="O11" s="69"/>
      <c r="P11" s="66"/>
    </row>
    <row r="12" spans="1:19" ht="15.75" thickBot="1" x14ac:dyDescent="0.3">
      <c r="A12" s="36" t="s">
        <v>19</v>
      </c>
      <c r="B12" s="30" t="s">
        <v>42</v>
      </c>
      <c r="D12" s="38" t="s">
        <v>46</v>
      </c>
      <c r="E12" s="11"/>
      <c r="H12" s="64"/>
      <c r="I12" s="65"/>
      <c r="J12" s="64"/>
      <c r="K12" s="66"/>
      <c r="L12" s="62"/>
      <c r="M12" s="67"/>
      <c r="N12" s="68"/>
      <c r="O12" s="69"/>
      <c r="P12" s="66"/>
    </row>
    <row r="13" spans="1:19" x14ac:dyDescent="0.25">
      <c r="C13" s="19"/>
      <c r="D13" s="38" t="s">
        <v>47</v>
      </c>
      <c r="E13" s="11"/>
      <c r="G13" s="19"/>
    </row>
    <row r="16" spans="1:19" x14ac:dyDescent="0.25">
      <c r="C16" s="19"/>
      <c r="D16" s="55" t="s">
        <v>41</v>
      </c>
      <c r="E16" s="56"/>
      <c r="G16" s="19"/>
      <c r="J16" s="32" t="s">
        <v>35</v>
      </c>
      <c r="K16" s="28"/>
      <c r="N16" s="50"/>
      <c r="O16" s="49"/>
      <c r="P16" s="49"/>
      <c r="Q16" s="49"/>
      <c r="R16" s="48"/>
      <c r="S16" s="48"/>
    </row>
    <row r="17" spans="1:26" ht="15.75" customHeight="1" x14ac:dyDescent="0.25">
      <c r="C17" s="19"/>
      <c r="D17" s="10" t="s">
        <v>10</v>
      </c>
      <c r="E17" s="41">
        <v>8.82</v>
      </c>
      <c r="G17" s="19"/>
      <c r="J17" s="32" t="s">
        <v>36</v>
      </c>
      <c r="K17" s="26"/>
      <c r="N17" s="51"/>
      <c r="O17" s="51"/>
      <c r="P17" s="51"/>
      <c r="Q17" s="51"/>
      <c r="R17" s="48"/>
      <c r="S17" s="48"/>
    </row>
    <row r="18" spans="1:26" ht="15.75" x14ac:dyDescent="0.25">
      <c r="A18" s="1"/>
      <c r="B18" s="25" t="s">
        <v>34</v>
      </c>
      <c r="D18" s="10" t="s">
        <v>11</v>
      </c>
      <c r="E18" s="26">
        <f>E17*1000000/1440</f>
        <v>6125</v>
      </c>
      <c r="J18" s="32" t="s">
        <v>37</v>
      </c>
      <c r="K18" s="15"/>
    </row>
    <row r="19" spans="1:26" x14ac:dyDescent="0.25">
      <c r="A19" s="14" t="s">
        <v>0</v>
      </c>
      <c r="B19" s="40" t="s">
        <v>53</v>
      </c>
      <c r="C19" s="19"/>
      <c r="F19" s="19"/>
      <c r="L19" s="7"/>
    </row>
    <row r="20" spans="1:26" x14ac:dyDescent="0.25">
      <c r="A20" s="60" t="s">
        <v>49</v>
      </c>
      <c r="B20" s="2">
        <v>1</v>
      </c>
      <c r="C20" s="2">
        <v>2</v>
      </c>
      <c r="D20" s="2">
        <v>3</v>
      </c>
      <c r="E20" s="2">
        <v>4</v>
      </c>
      <c r="F20" s="2">
        <v>5</v>
      </c>
      <c r="G20" s="2">
        <v>6</v>
      </c>
      <c r="H20" s="2">
        <v>7</v>
      </c>
      <c r="I20" s="2">
        <v>8</v>
      </c>
      <c r="J20" s="2">
        <v>9</v>
      </c>
      <c r="K20" s="2">
        <v>10</v>
      </c>
      <c r="L20" s="7"/>
      <c r="O20" s="50"/>
    </row>
    <row r="21" spans="1:26" x14ac:dyDescent="0.25">
      <c r="A21" s="3" t="s">
        <v>1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7"/>
    </row>
    <row r="22" spans="1:26" x14ac:dyDescent="0.25">
      <c r="A22" s="3" t="s">
        <v>27</v>
      </c>
      <c r="B22" s="41">
        <v>1786</v>
      </c>
      <c r="C22" s="41">
        <v>1786</v>
      </c>
      <c r="D22" s="41">
        <v>1786</v>
      </c>
      <c r="E22" s="41">
        <v>1786</v>
      </c>
      <c r="F22" s="41">
        <v>1786</v>
      </c>
      <c r="G22" s="41"/>
      <c r="H22" s="41"/>
      <c r="I22" s="41"/>
      <c r="J22" s="41"/>
      <c r="K22" s="41"/>
      <c r="L22" s="7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A23" s="3" t="str">
        <f>IF(AND(B11="NA",ISNUMBER(B10)),"Reservoir Level (ft):",IF(AND(B10="NA",ISNUMBER(B11)),"Suction Pressure (psi):","Error Suction Configuration"))</f>
        <v>Reservoir Level (ft):</v>
      </c>
      <c r="B23" s="42">
        <v>426</v>
      </c>
      <c r="C23" s="42">
        <v>426</v>
      </c>
      <c r="D23" s="42">
        <v>426</v>
      </c>
      <c r="E23" s="42">
        <v>426</v>
      </c>
      <c r="F23" s="42">
        <v>426</v>
      </c>
      <c r="G23" s="42"/>
      <c r="H23" s="42"/>
      <c r="I23" s="42"/>
      <c r="J23" s="42"/>
      <c r="K23" s="42"/>
      <c r="L23" s="7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3" t="s">
        <v>29</v>
      </c>
      <c r="B24" s="71">
        <v>8</v>
      </c>
      <c r="C24" s="71">
        <v>22</v>
      </c>
      <c r="D24" s="71">
        <v>41</v>
      </c>
      <c r="E24" s="71">
        <v>61</v>
      </c>
      <c r="F24" s="71">
        <v>84</v>
      </c>
      <c r="G24" s="44"/>
      <c r="H24" s="44"/>
      <c r="I24" s="44"/>
      <c r="J24" s="44"/>
      <c r="K24" s="44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25">
      <c r="A25" s="3" t="s">
        <v>32</v>
      </c>
      <c r="B25" s="71">
        <v>0</v>
      </c>
      <c r="C25" s="71">
        <v>18</v>
      </c>
      <c r="D25" s="71">
        <v>37</v>
      </c>
      <c r="E25" s="71">
        <v>59</v>
      </c>
      <c r="F25" s="71">
        <v>81</v>
      </c>
      <c r="G25" s="41"/>
      <c r="H25" s="41"/>
      <c r="I25" s="41"/>
      <c r="J25" s="41"/>
      <c r="K25" s="41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3" t="s">
        <v>2</v>
      </c>
      <c r="B26" s="71">
        <v>960</v>
      </c>
      <c r="C26" s="71">
        <v>926</v>
      </c>
      <c r="D26" s="71">
        <v>875</v>
      </c>
      <c r="E26" s="71">
        <v>818</v>
      </c>
      <c r="F26" s="71">
        <v>750</v>
      </c>
      <c r="G26" s="43"/>
      <c r="H26" s="43"/>
      <c r="I26" s="43"/>
      <c r="J26" s="43"/>
      <c r="K26" s="43"/>
      <c r="M26" s="59" t="s">
        <v>48</v>
      </c>
      <c r="N26" s="59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25">
      <c r="A27" s="3" t="s">
        <v>20</v>
      </c>
      <c r="B27" s="41">
        <v>248</v>
      </c>
      <c r="C27" s="41">
        <v>247</v>
      </c>
      <c r="D27" s="41">
        <v>243</v>
      </c>
      <c r="E27" s="41">
        <v>236</v>
      </c>
      <c r="F27" s="41">
        <v>228</v>
      </c>
      <c r="G27" s="41"/>
      <c r="H27" s="41"/>
      <c r="I27" s="41"/>
      <c r="J27" s="41"/>
      <c r="K27" s="41"/>
      <c r="M27" s="59"/>
      <c r="N27" s="59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3" t="s">
        <v>21</v>
      </c>
      <c r="B28" s="41">
        <v>240</v>
      </c>
      <c r="C28" s="41">
        <v>240</v>
      </c>
      <c r="D28" s="41">
        <v>237</v>
      </c>
      <c r="E28" s="41">
        <v>229</v>
      </c>
      <c r="F28" s="41">
        <v>220</v>
      </c>
      <c r="G28" s="41"/>
      <c r="H28" s="41"/>
      <c r="I28" s="41"/>
      <c r="J28" s="41"/>
      <c r="K28" s="41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A29" s="3" t="s">
        <v>22</v>
      </c>
      <c r="B29" s="41">
        <v>240</v>
      </c>
      <c r="C29" s="41">
        <v>240</v>
      </c>
      <c r="D29" s="41">
        <v>235</v>
      </c>
      <c r="E29" s="41">
        <v>229</v>
      </c>
      <c r="F29" s="41">
        <v>222</v>
      </c>
      <c r="G29" s="41"/>
      <c r="H29" s="41"/>
      <c r="I29" s="41"/>
      <c r="J29" s="41"/>
      <c r="K29" s="41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3" t="s">
        <v>23</v>
      </c>
      <c r="B30" s="41">
        <v>483</v>
      </c>
      <c r="C30" s="41">
        <v>483</v>
      </c>
      <c r="D30" s="41">
        <v>483</v>
      </c>
      <c r="E30" s="41">
        <v>481</v>
      </c>
      <c r="F30" s="41">
        <v>481</v>
      </c>
      <c r="G30" s="41"/>
      <c r="H30" s="41"/>
      <c r="I30" s="41"/>
      <c r="J30" s="41"/>
      <c r="K30" s="41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25">
      <c r="A31" s="3" t="s">
        <v>24</v>
      </c>
      <c r="B31" s="41">
        <v>483</v>
      </c>
      <c r="C31" s="41">
        <v>485</v>
      </c>
      <c r="D31" s="41">
        <v>486</v>
      </c>
      <c r="E31" s="41">
        <v>481</v>
      </c>
      <c r="F31" s="41">
        <v>481</v>
      </c>
      <c r="G31" s="41"/>
      <c r="H31" s="41"/>
      <c r="I31" s="41"/>
      <c r="J31" s="41"/>
      <c r="K31" s="41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3" t="s">
        <v>25</v>
      </c>
      <c r="B32" s="41">
        <v>486</v>
      </c>
      <c r="C32" s="41">
        <v>483</v>
      </c>
      <c r="D32" s="41">
        <v>483</v>
      </c>
      <c r="E32" s="41">
        <v>484</v>
      </c>
      <c r="F32" s="41">
        <v>484</v>
      </c>
      <c r="G32" s="41"/>
      <c r="H32" s="41"/>
      <c r="I32" s="41"/>
      <c r="J32" s="41"/>
      <c r="K32" s="41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25">
      <c r="A33" s="3" t="s">
        <v>3</v>
      </c>
      <c r="B33" s="16">
        <f t="shared" ref="B33:K33" si="0">IF(ISERR((B36*B35*$E$10*1.732)/1000)=FALSE,(B36*B35*$E$10*1.732)/1000,"")</f>
        <v>162.73964373333334</v>
      </c>
      <c r="C33" s="16">
        <f t="shared" si="0"/>
        <v>162.40417457777781</v>
      </c>
      <c r="D33" s="16">
        <f t="shared" si="0"/>
        <v>159.83357866666671</v>
      </c>
      <c r="E33" s="16">
        <f t="shared" si="0"/>
        <v>154.49809493333333</v>
      </c>
      <c r="F33" s="16">
        <f t="shared" si="0"/>
        <v>149.15522133333334</v>
      </c>
      <c r="G33" s="16" t="str">
        <f t="shared" si="0"/>
        <v/>
      </c>
      <c r="H33" s="16" t="str">
        <f t="shared" si="0"/>
        <v/>
      </c>
      <c r="I33" s="16" t="str">
        <f t="shared" si="0"/>
        <v/>
      </c>
      <c r="J33" s="16" t="str">
        <f t="shared" si="0"/>
        <v/>
      </c>
      <c r="K33" s="16" t="str">
        <f t="shared" si="0"/>
        <v/>
      </c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3" t="s">
        <v>6</v>
      </c>
      <c r="B34" s="17">
        <f>IF(B33&lt;&gt;"",1.341*B33,"")</f>
        <v>218.23386224640001</v>
      </c>
      <c r="C34" s="17">
        <f t="shared" ref="C34:K34" si="1">IF(C33&lt;&gt;"",1.341*C33,"")</f>
        <v>217.78399810880003</v>
      </c>
      <c r="D34" s="17">
        <f t="shared" si="1"/>
        <v>214.33682899200005</v>
      </c>
      <c r="E34" s="17">
        <f t="shared" si="1"/>
        <v>207.18194530560001</v>
      </c>
      <c r="F34" s="17">
        <f t="shared" si="1"/>
        <v>200.01715180800002</v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25">
      <c r="A35" s="3" t="str">
        <f>"Ave. Amps "  &amp; B19</f>
        <v>Ave. Amps 2013-7-25</v>
      </c>
      <c r="B35" s="17">
        <f>IF(B27&lt;&gt;"",AVERAGE(B27:B29),"")</f>
        <v>242.66666666666666</v>
      </c>
      <c r="C35" s="17">
        <f t="shared" ref="C35:K35" si="2">IF(C27&lt;&gt;"",AVERAGE(C27:C29),"")</f>
        <v>242.33333333333334</v>
      </c>
      <c r="D35" s="17">
        <f t="shared" si="2"/>
        <v>238.33333333333334</v>
      </c>
      <c r="E35" s="17">
        <f t="shared" si="2"/>
        <v>231.33333333333334</v>
      </c>
      <c r="F35" s="17">
        <f t="shared" si="2"/>
        <v>223.33333333333334</v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22" t="str">
        <f>"Ave. Volts "&amp; B19</f>
        <v>Ave. Volts 2013-7-25</v>
      </c>
      <c r="B36" s="21">
        <f>IF(ISERR(AVERAGE(B30:B32))=FALSE,AVERAGE(B30:B32),"")</f>
        <v>484</v>
      </c>
      <c r="C36" s="21">
        <f t="shared" ref="C36:K36" si="3">IF(ISERR(AVERAGE(C30:C32))=FALSE,AVERAGE(C30:C32),"")</f>
        <v>483.66666666666669</v>
      </c>
      <c r="D36" s="21">
        <f t="shared" si="3"/>
        <v>484</v>
      </c>
      <c r="E36" s="21">
        <f>IF(ISERR(AVERAGE(E30:E32))=FALSE,AVERAGE(E30:E32),"")</f>
        <v>482</v>
      </c>
      <c r="F36" s="21">
        <f t="shared" si="3"/>
        <v>482</v>
      </c>
      <c r="G36" s="21" t="str">
        <f t="shared" si="3"/>
        <v/>
      </c>
      <c r="H36" s="21" t="str">
        <f>IF(ISERR(AVERAGE(H30:H32))=FALSE,AVERAGE(H30:H32),"")</f>
        <v/>
      </c>
      <c r="I36" s="21" t="str">
        <f t="shared" si="3"/>
        <v/>
      </c>
      <c r="J36" s="21" t="str">
        <f t="shared" si="3"/>
        <v/>
      </c>
      <c r="K36" s="21" t="str">
        <f t="shared" si="3"/>
        <v/>
      </c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5">
      <c r="A37" s="3" t="s">
        <v>4</v>
      </c>
      <c r="B37" s="16">
        <f t="shared" ref="B37:K37" si="4">IF(B24="","",IF(LEFT($A$23,5)="Error","Suction Type?",IF(LEFT($A$23,5)="Reser",(B24*2.31+$B$9)-(B23+$B$10),IF(LEFT($A$23,5)="Sucti",(B24*2.31+$B$9)-((B23*2.31)+$B$11)))))</f>
        <v>-379.02</v>
      </c>
      <c r="C37" s="16">
        <f t="shared" si="4"/>
        <v>-346.68000000000006</v>
      </c>
      <c r="D37" s="16">
        <f t="shared" si="4"/>
        <v>-302.78999999999996</v>
      </c>
      <c r="E37" s="16">
        <f t="shared" si="4"/>
        <v>-256.58999999999992</v>
      </c>
      <c r="F37" s="16">
        <f t="shared" si="4"/>
        <v>-203.46000000000004</v>
      </c>
      <c r="G37" s="16" t="str">
        <f t="shared" si="4"/>
        <v/>
      </c>
      <c r="H37" s="16" t="str">
        <f t="shared" si="4"/>
        <v/>
      </c>
      <c r="I37" s="16" t="str">
        <f t="shared" si="4"/>
        <v/>
      </c>
      <c r="J37" s="16" t="str">
        <f t="shared" si="4"/>
        <v/>
      </c>
      <c r="K37" s="16" t="str">
        <f t="shared" si="4"/>
        <v/>
      </c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3" t="s">
        <v>5</v>
      </c>
      <c r="B38" s="17">
        <f t="shared" ref="B38:K38" si="5">IF(B26="","",B26*1000000/1440)</f>
        <v>666666.66666666663</v>
      </c>
      <c r="C38" s="17">
        <f t="shared" si="5"/>
        <v>643055.5555555555</v>
      </c>
      <c r="D38" s="17">
        <f t="shared" si="5"/>
        <v>607638.88888888888</v>
      </c>
      <c r="E38" s="17">
        <f t="shared" si="5"/>
        <v>568055.5555555555</v>
      </c>
      <c r="F38" s="17">
        <f t="shared" si="5"/>
        <v>520833.33333333331</v>
      </c>
      <c r="G38" s="17" t="str">
        <f t="shared" si="5"/>
        <v/>
      </c>
      <c r="H38" s="17" t="str">
        <f t="shared" si="5"/>
        <v/>
      </c>
      <c r="I38" s="17" t="str">
        <f t="shared" si="5"/>
        <v/>
      </c>
      <c r="J38" s="17" t="str">
        <f t="shared" si="5"/>
        <v/>
      </c>
      <c r="K38" s="17" t="str">
        <f t="shared" si="5"/>
        <v/>
      </c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3" t="s">
        <v>7</v>
      </c>
      <c r="B39" s="18">
        <f>IF(B33&lt;&gt;"",B37*B38/3960/B34,"")</f>
        <v>-292.38395980930488</v>
      </c>
      <c r="C39" s="18">
        <f t="shared" ref="C39:K39" si="6">IF(C33&lt;&gt;"",C37*C38/3960/C34,"")</f>
        <v>-258.49737078004415</v>
      </c>
      <c r="D39" s="18">
        <f t="shared" si="6"/>
        <v>-216.7679656077911</v>
      </c>
      <c r="E39" s="18">
        <f t="shared" si="6"/>
        <v>-177.65745888234031</v>
      </c>
      <c r="F39" s="18">
        <f t="shared" si="6"/>
        <v>-133.78745328411907</v>
      </c>
      <c r="G39" s="18" t="str">
        <f t="shared" si="6"/>
        <v/>
      </c>
      <c r="H39" s="18" t="str">
        <f t="shared" si="6"/>
        <v/>
      </c>
      <c r="I39" s="18" t="str">
        <f t="shared" si="6"/>
        <v/>
      </c>
      <c r="J39" s="18" t="str">
        <f t="shared" si="6"/>
        <v/>
      </c>
      <c r="K39" s="18" t="str">
        <f t="shared" si="6"/>
        <v/>
      </c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B40" s="20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2" spans="1:26" x14ac:dyDescent="0.25">
      <c r="N42" s="58"/>
      <c r="O42" s="58"/>
    </row>
    <row r="43" spans="1:26" x14ac:dyDescent="0.25">
      <c r="N43" s="57"/>
      <c r="O43" s="57"/>
    </row>
    <row r="44" spans="1:26" x14ac:dyDescent="0.25">
      <c r="N44" s="57"/>
      <c r="O44" s="57"/>
    </row>
    <row r="45" spans="1:26" x14ac:dyDescent="0.25">
      <c r="N45" s="57"/>
      <c r="O45" s="57"/>
    </row>
    <row r="46" spans="1:26" x14ac:dyDescent="0.25">
      <c r="N46" s="57"/>
      <c r="O46" s="57"/>
    </row>
    <row r="47" spans="1:26" x14ac:dyDescent="0.25">
      <c r="N47" s="57"/>
      <c r="O47" s="57"/>
    </row>
    <row r="48" spans="1:26" x14ac:dyDescent="0.25">
      <c r="N48" s="57"/>
      <c r="O48" s="57"/>
    </row>
    <row r="49" spans="14:15" x14ac:dyDescent="0.25">
      <c r="N49" s="57"/>
      <c r="O49" s="57"/>
    </row>
    <row r="50" spans="14:15" x14ac:dyDescent="0.25">
      <c r="N50" s="57"/>
      <c r="O50" s="57"/>
    </row>
    <row r="51" spans="14:15" x14ac:dyDescent="0.25">
      <c r="N51" s="57"/>
      <c r="O51" s="57"/>
    </row>
    <row r="52" spans="14:15" x14ac:dyDescent="0.25">
      <c r="N52" s="57"/>
      <c r="O52" s="57"/>
    </row>
  </sheetData>
  <sheetProtection selectLockedCells="1"/>
  <dataConsolidate/>
  <mergeCells count="18">
    <mergeCell ref="H1:K1"/>
    <mergeCell ref="M1:P1"/>
    <mergeCell ref="A3:B3"/>
    <mergeCell ref="A8:B8"/>
    <mergeCell ref="D16:E16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  <mergeCell ref="M26:N26"/>
    <mergeCell ref="M27:N27"/>
  </mergeCells>
  <dataValidations disablePrompts="1"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pageMargins left="0.47" right="0.34" top="0.28999999999999998" bottom="0.17" header="0.26" footer="0.17"/>
  <pageSetup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PumpTest">
                <anchor moveWithCells="1" sizeWithCells="1">
                  <from>
                    <xdr:col>11</xdr:col>
                    <xdr:colOff>171450</xdr:colOff>
                    <xdr:row>20</xdr:row>
                    <xdr:rowOff>9525</xdr:rowOff>
                  </from>
                  <to>
                    <xdr:col>13</xdr:col>
                    <xdr:colOff>752475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PAUTestEntry</vt:lpstr>
      <vt:lpstr>PAUTestEntry!Print_Area</vt:lpstr>
      <vt:lpstr>PAUTestEntry!pumpModel</vt:lpstr>
      <vt:lpstr>PAUTestEntry!pumpNumber</vt:lpstr>
      <vt:lpstr>PAUTestEntry!pumpSerial</vt:lpstr>
      <vt:lpstr>PAUTestEntry!stationNumber</vt:lpstr>
      <vt:lpstr>PAUTestEntry!testDate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2018-07-25T21:52:39Z</dcterms:modified>
</cp:coreProperties>
</file>