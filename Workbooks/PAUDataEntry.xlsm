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228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rest\Documents\gitRepos\waterUtility\Workbooks\"/>
    </mc:Choice>
  </mc:AlternateContent>
  <xr:revisionPtr revIDLastSave="0" documentId="13_ncr:1_{E540C9A5-5381-42D2-AE51-2A231F5A4611}" xr6:coauthVersionLast="34" xr6:coauthVersionMax="34" xr10:uidLastSave="{00000000-0000-0000-0000-000000000000}"/>
  <bookViews>
    <workbookView xWindow="0" yWindow="0" windowWidth="28800" windowHeight="13770" tabRatio="365" xr2:uid="{00000000-000D-0000-FFFF-FFFF00000000}"/>
  </bookViews>
  <sheets>
    <sheet name="PAUTestEntry" sheetId="36" r:id="rId1"/>
  </sheets>
  <functionGroups builtInGroupCount="19"/>
  <definedNames>
    <definedName name="localhost">PAUTestEntry!$N$17</definedName>
    <definedName name="_xlnm.Print_Area" localSheetId="0">PAUTestEntry!$A$1:$L$36</definedName>
    <definedName name="pumpModel" localSheetId="0">PAUTestEntry!$E$3</definedName>
    <definedName name="pumpNumber" localSheetId="0">PAUTestEntry!$C$1</definedName>
    <definedName name="pumpSerial" localSheetId="0">PAUTestEntry!$E$4</definedName>
    <definedName name="serverURL">PAUTestEntry!$N$16</definedName>
    <definedName name="stationNumber" localSheetId="0">PAUTestEntry!$B$1</definedName>
    <definedName name="testDate" localSheetId="0">PAUTestEntry!$B$19</definedName>
  </definedNames>
  <calcPr calcId="179017"/>
</workbook>
</file>

<file path=xl/calcChain.xml><?xml version="1.0" encoding="utf-8"?>
<calcChain xmlns="http://schemas.openxmlformats.org/spreadsheetml/2006/main">
  <c r="A35" i="36" l="1"/>
  <c r="B35" i="36"/>
  <c r="C35" i="36"/>
  <c r="D35" i="36"/>
  <c r="E35" i="36"/>
  <c r="F35" i="36"/>
  <c r="G35" i="36"/>
  <c r="H35" i="36"/>
  <c r="I35" i="36"/>
  <c r="J35" i="36"/>
  <c r="K35" i="36"/>
  <c r="A36" i="36"/>
  <c r="B36" i="36"/>
  <c r="B33" i="36" s="1"/>
  <c r="C36" i="36"/>
  <c r="C33" i="36" s="1"/>
  <c r="D36" i="36"/>
  <c r="D33" i="36" s="1"/>
  <c r="E36" i="36"/>
  <c r="E33" i="36" s="1"/>
  <c r="F36" i="36"/>
  <c r="F33" i="36" s="1"/>
  <c r="G36" i="36"/>
  <c r="G33" i="36" s="1"/>
  <c r="H36" i="36"/>
  <c r="I36" i="36"/>
  <c r="J36" i="36"/>
  <c r="J33" i="36" s="1"/>
  <c r="K36" i="36"/>
  <c r="K33" i="36" s="1"/>
  <c r="B37" i="36"/>
  <c r="C37" i="36"/>
  <c r="D37" i="36"/>
  <c r="E37" i="36"/>
  <c r="F37" i="36"/>
  <c r="G37" i="36"/>
  <c r="H37" i="36"/>
  <c r="I37" i="36"/>
  <c r="J37" i="36"/>
  <c r="K37" i="36"/>
  <c r="B38" i="36"/>
  <c r="C38" i="36"/>
  <c r="D38" i="36"/>
  <c r="E38" i="36"/>
  <c r="F38" i="36"/>
  <c r="G38" i="36"/>
  <c r="H38" i="36"/>
  <c r="I38" i="36"/>
  <c r="J38" i="36"/>
  <c r="K38" i="36"/>
  <c r="I33" i="36" l="1"/>
  <c r="I34" i="36" s="1"/>
  <c r="H33" i="36"/>
  <c r="H34" i="36" s="1"/>
  <c r="D34" i="36"/>
  <c r="D39" i="36" s="1"/>
  <c r="C34" i="36"/>
  <c r="C39" i="36" s="1"/>
  <c r="J34" i="36"/>
  <c r="J39" i="36"/>
  <c r="B34" i="36"/>
  <c r="B39" i="36"/>
  <c r="E34" i="36"/>
  <c r="E39" i="36" s="1"/>
  <c r="K34" i="36"/>
  <c r="K39" i="36"/>
  <c r="G34" i="36"/>
  <c r="G39" i="36" s="1"/>
  <c r="F39" i="36"/>
  <c r="F34" i="36"/>
  <c r="E18" i="36"/>
  <c r="I39" i="36" l="1"/>
  <c r="H39" i="36"/>
  <c r="A23" i="36"/>
  <c r="O11" i="36" s="1"/>
  <c r="I12" i="36"/>
  <c r="I11" i="36"/>
  <c r="I10" i="36"/>
  <c r="I9" i="36"/>
  <c r="O8" i="36"/>
  <c r="I8" i="36"/>
  <c r="O7" i="36"/>
  <c r="I7" i="36"/>
  <c r="I6" i="36"/>
  <c r="I5" i="36"/>
  <c r="O4" i="36"/>
  <c r="I4" i="36"/>
  <c r="B4" i="36"/>
  <c r="I3" i="36"/>
  <c r="M1" i="36"/>
  <c r="N3" i="36" l="1"/>
  <c r="P12" i="36"/>
  <c r="O9" i="36"/>
  <c r="O6" i="36"/>
  <c r="O10" i="36"/>
  <c r="O5" i="36"/>
  <c r="O12" i="36"/>
  <c r="P11" i="36"/>
  <c r="P5" i="36"/>
  <c r="P7" i="36"/>
  <c r="O3" i="36"/>
  <c r="N4" i="36"/>
  <c r="N5" i="36"/>
  <c r="N6" i="36"/>
  <c r="N7" i="36"/>
  <c r="N8" i="36"/>
  <c r="N9" i="36"/>
  <c r="N10" i="36"/>
  <c r="N11" i="36"/>
  <c r="N12" i="36"/>
  <c r="P4" i="36"/>
  <c r="P6" i="36"/>
  <c r="P8" i="36"/>
  <c r="P10" i="36"/>
  <c r="P3" i="36" l="1"/>
  <c r="P9" i="36"/>
</calcChain>
</file>

<file path=xl/sharedStrings.xml><?xml version="1.0" encoding="utf-8"?>
<sst xmlns="http://schemas.openxmlformats.org/spreadsheetml/2006/main" count="83" uniqueCount="76">
  <si>
    <t>Parameter</t>
  </si>
  <si>
    <t>Date:</t>
  </si>
  <si>
    <t>Time:</t>
  </si>
  <si>
    <t>Discharge Flow (mgd):</t>
  </si>
  <si>
    <t>KW Input to Motor:</t>
  </si>
  <si>
    <t>Total Head (ft):</t>
  </si>
  <si>
    <t>Discharge Flow (gpm):</t>
  </si>
  <si>
    <t>HP Input to Motor:</t>
  </si>
  <si>
    <t>Overall Pump Efficiency:</t>
  </si>
  <si>
    <t>TDH (ft)</t>
  </si>
  <si>
    <t>Flow (gpm)</t>
  </si>
  <si>
    <t>Manufacturer Pump Curve</t>
  </si>
  <si>
    <t>Pump Station / No:</t>
  </si>
  <si>
    <t>Design Point</t>
  </si>
  <si>
    <t>MGD</t>
  </si>
  <si>
    <t>GPM</t>
  </si>
  <si>
    <t>TDH (FT)</t>
  </si>
  <si>
    <t>Pump Mfr:</t>
  </si>
  <si>
    <t>Motor HP:</t>
  </si>
  <si>
    <t>Pump Model:</t>
  </si>
  <si>
    <t>Motor Voltage:</t>
  </si>
  <si>
    <t>Pump Installed:</t>
  </si>
  <si>
    <t>Motor Installed:</t>
  </si>
  <si>
    <t>Flow (mgd)</t>
  </si>
  <si>
    <t>Test Pt 1</t>
  </si>
  <si>
    <t>Test Pt 2</t>
  </si>
  <si>
    <t>Test Pt 3</t>
  </si>
  <si>
    <t>Test Pt 4</t>
  </si>
  <si>
    <t>Test Pt 5</t>
  </si>
  <si>
    <t>Test Pt 6</t>
  </si>
  <si>
    <t>Test Pt 7</t>
  </si>
  <si>
    <t>Test Pt 8</t>
  </si>
  <si>
    <t>Service Zone:</t>
  </si>
  <si>
    <t>Amps 1:</t>
  </si>
  <si>
    <t>Amps 2:</t>
  </si>
  <si>
    <t>Amps 3:</t>
  </si>
  <si>
    <t>Volts 1:</t>
  </si>
  <si>
    <t>Volts 2:</t>
  </si>
  <si>
    <t>Volts 3:</t>
  </si>
  <si>
    <t>RPM:</t>
  </si>
  <si>
    <t>Pump Speed (%)</t>
  </si>
  <si>
    <t>Test Pt 9</t>
  </si>
  <si>
    <t>Test Pt 10</t>
  </si>
  <si>
    <t>Reservoir Floor Elev (ft):</t>
  </si>
  <si>
    <t>Disch Press @ Pmp Flg. (psi):</t>
  </si>
  <si>
    <t>Pump Disch Hdr CL Elev (ft):</t>
  </si>
  <si>
    <t>Suction Header CL Elev (ft):</t>
  </si>
  <si>
    <t>Disch Press @ Header (psi):</t>
  </si>
  <si>
    <t>NA</t>
  </si>
  <si>
    <t>Bowl Eff (%)</t>
  </si>
  <si>
    <t>Test Pump Curve</t>
  </si>
  <si>
    <t>Test Pt</t>
  </si>
  <si>
    <t>General Info =</t>
  </si>
  <si>
    <t>Calculated =</t>
  </si>
  <si>
    <t>Manual Input from Pump Test =</t>
  </si>
  <si>
    <t xml:space="preserve">Elevation Information </t>
  </si>
  <si>
    <t>Power Factor:</t>
  </si>
  <si>
    <t>Motor Efficiency:</t>
  </si>
  <si>
    <t>Flow Conversion Calculator</t>
  </si>
  <si>
    <t>SBFFPS</t>
  </si>
  <si>
    <t>Falcon Field</t>
  </si>
  <si>
    <t>Serial Number:</t>
  </si>
  <si>
    <t>2018</t>
  </si>
  <si>
    <t>Floway</t>
  </si>
  <si>
    <t>No. of Stages:</t>
  </si>
  <si>
    <t>Impeller Trim:</t>
  </si>
  <si>
    <t>http://localhost:3000/InsertPumpTest</t>
  </si>
  <si>
    <t>local</t>
  </si>
  <si>
    <t>heroku</t>
  </si>
  <si>
    <t>2018-2-15</t>
  </si>
  <si>
    <t>Failed Test Inserts</t>
  </si>
  <si>
    <t>22BLK</t>
  </si>
  <si>
    <t>https://pump-assessment-utility.herokuapp.com/InsertPumpTest</t>
  </si>
  <si>
    <t>FAILED</t>
  </si>
  <si>
    <t>1, 2, 3, 4, 5, 6, 7, 8, 9</t>
  </si>
  <si>
    <t>78639-1-3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</si>
</sst>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#,##0.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name val="Arial"/>
      <family val="2"/>
    </font>
    <font>
      <sz val="11"/>
      <color theme="0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indexed="9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8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4" fillId="0" borderId="0"/>
    <xf numFmtId="9" fontId="9" fillId="0" borderId="0" applyFont="0" applyFill="0" applyBorder="0" applyAlignment="0" applyProtection="0"/>
    <xf numFmtId="0" fontId="10" fillId="0" borderId="0" applyNumberFormat="0" applyFill="0" applyBorder="0" applyAlignment="0" applyProtection="0"/>
  </cellStyleXfs>
  <cellXfs count="84">
    <xf numFmtId="0" fontId="0" fillId="0" borderId="0" xfId="0"/>
    <xf numFmtId="0" fontId="2" fillId="0" borderId="0" xfId="0" applyFont="1" applyAlignment="1">
      <alignment horizontal="left"/>
    </xf>
    <xf numFmtId="0" fontId="1" fillId="0" borderId="1" xfId="0" applyFont="1" applyFill="1" applyBorder="1" applyAlignment="1">
      <alignment horizontal="center"/>
    </xf>
    <xf numFmtId="0" fontId="0" fillId="0" borderId="1" xfId="0" applyBorder="1" applyAlignment="1">
      <alignment horizontal="right"/>
    </xf>
    <xf numFmtId="0" fontId="0" fillId="0" borderId="0" xfId="0" applyBorder="1" applyAlignment="1">
      <alignment horizontal="center"/>
    </xf>
    <xf numFmtId="0" fontId="3" fillId="0" borderId="0" xfId="0" applyFont="1" applyBorder="1" applyAlignment="1">
      <alignment horizontal="left"/>
    </xf>
    <xf numFmtId="0" fontId="2" fillId="0" borderId="0" xfId="0" applyFont="1" applyBorder="1" applyAlignment="1">
      <alignment horizontal="left"/>
    </xf>
    <xf numFmtId="0" fontId="0" fillId="0" borderId="0" xfId="0" applyBorder="1"/>
    <xf numFmtId="0" fontId="1" fillId="0" borderId="0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1" xfId="0" applyFont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Font="1"/>
    <xf numFmtId="49" fontId="1" fillId="0" borderId="2" xfId="0" applyNumberFormat="1" applyFont="1" applyBorder="1" applyAlignment="1">
      <alignment horizontal="right"/>
    </xf>
    <xf numFmtId="0" fontId="0" fillId="3" borderId="1" xfId="0" applyFill="1" applyBorder="1" applyAlignment="1">
      <alignment horizontal="center"/>
    </xf>
    <xf numFmtId="164" fontId="7" fillId="4" borderId="1" xfId="0" applyNumberFormat="1" applyFont="1" applyFill="1" applyBorder="1" applyAlignment="1">
      <alignment horizontal="center"/>
    </xf>
    <xf numFmtId="3" fontId="7" fillId="4" borderId="1" xfId="0" applyNumberFormat="1" applyFont="1" applyFill="1" applyBorder="1" applyAlignment="1">
      <alignment horizontal="center"/>
    </xf>
    <xf numFmtId="9" fontId="7" fillId="4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65" fontId="7" fillId="0" borderId="0" xfId="0" applyNumberFormat="1" applyFont="1" applyFill="1" applyBorder="1" applyAlignment="1">
      <alignment horizontal="center"/>
    </xf>
    <xf numFmtId="1" fontId="7" fillId="4" borderId="1" xfId="0" applyNumberFormat="1" applyFont="1" applyFill="1" applyBorder="1" applyAlignment="1">
      <alignment horizontal="center"/>
    </xf>
    <xf numFmtId="0" fontId="0" fillId="0" borderId="1" xfId="0" applyFill="1" applyBorder="1" applyAlignment="1">
      <alignment horizontal="right"/>
    </xf>
    <xf numFmtId="0" fontId="1" fillId="0" borderId="3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5" fillId="4" borderId="1" xfId="0" applyFont="1" applyFill="1" applyBorder="1" applyAlignment="1">
      <alignment horizontal="center"/>
    </xf>
    <xf numFmtId="2" fontId="5" fillId="4" borderId="4" xfId="0" applyNumberFormat="1" applyFont="1" applyFill="1" applyBorder="1" applyAlignment="1">
      <alignment horizontal="center"/>
    </xf>
    <xf numFmtId="2" fontId="5" fillId="4" borderId="1" xfId="0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right"/>
    </xf>
    <xf numFmtId="2" fontId="0" fillId="0" borderId="1" xfId="0" applyNumberFormat="1" applyBorder="1" applyAlignment="1">
      <alignment horizontal="center"/>
    </xf>
    <xf numFmtId="0" fontId="0" fillId="2" borderId="1" xfId="0" applyFill="1" applyBorder="1"/>
    <xf numFmtId="3" fontId="1" fillId="2" borderId="4" xfId="0" applyNumberFormat="1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49" fontId="1" fillId="2" borderId="1" xfId="0" applyNumberFormat="1" applyFont="1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6" fillId="0" borderId="0" xfId="0" quotePrefix="1" applyFont="1" applyAlignment="1">
      <alignment horizontal="right"/>
    </xf>
    <xf numFmtId="0" fontId="1" fillId="0" borderId="3" xfId="0" applyFont="1" applyFill="1" applyBorder="1" applyAlignment="1">
      <alignment horizontal="center"/>
    </xf>
    <xf numFmtId="0" fontId="1" fillId="0" borderId="4" xfId="0" applyFont="1" applyFill="1" applyBorder="1" applyAlignment="1">
      <alignment horizontal="center"/>
    </xf>
    <xf numFmtId="9" fontId="0" fillId="2" borderId="4" xfId="2" applyFont="1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9" fontId="0" fillId="2" borderId="7" xfId="2" applyFont="1" applyFill="1" applyBorder="1" applyAlignment="1">
      <alignment horizontal="center"/>
    </xf>
    <xf numFmtId="0" fontId="1" fillId="0" borderId="3" xfId="0" applyFont="1" applyBorder="1" applyAlignment="1">
      <alignment horizontal="right"/>
    </xf>
    <xf numFmtId="0" fontId="1" fillId="0" borderId="4" xfId="0" applyFont="1" applyBorder="1" applyAlignment="1">
      <alignment horizontal="right"/>
    </xf>
    <xf numFmtId="1" fontId="0" fillId="0" borderId="3" xfId="0" applyNumberFormat="1" applyBorder="1" applyAlignment="1">
      <alignment horizontal="center"/>
    </xf>
    <xf numFmtId="9" fontId="0" fillId="0" borderId="4" xfId="2" applyFon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9" fontId="0" fillId="0" borderId="7" xfId="2" applyFont="1" applyBorder="1" applyAlignment="1">
      <alignment horizontal="center"/>
    </xf>
    <xf numFmtId="0" fontId="1" fillId="0" borderId="3" xfId="0" applyFont="1" applyBorder="1" applyAlignment="1">
      <alignment horizontal="left" vertical="center"/>
    </xf>
    <xf numFmtId="0" fontId="1" fillId="2" borderId="4" xfId="0" applyFont="1" applyFill="1" applyBorder="1" applyAlignment="1">
      <alignment horizontal="center"/>
    </xf>
    <xf numFmtId="0" fontId="1" fillId="0" borderId="3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2" fontId="1" fillId="2" borderId="4" xfId="0" applyNumberFormat="1" applyFont="1" applyFill="1" applyBorder="1" applyAlignment="1">
      <alignment horizontal="center"/>
    </xf>
    <xf numFmtId="0" fontId="1" fillId="0" borderId="0" xfId="0" applyFont="1" applyFill="1" applyBorder="1" applyAlignment="1">
      <alignment horizontal="right"/>
    </xf>
    <xf numFmtId="9" fontId="0" fillId="0" borderId="0" xfId="2" applyFont="1"/>
    <xf numFmtId="49" fontId="0" fillId="3" borderId="1" xfId="0" applyNumberFormat="1" applyFill="1" applyBorder="1" applyAlignment="1" applyProtection="1">
      <alignment horizontal="center"/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0" fillId="3" borderId="1" xfId="0" quotePrefix="1" applyFill="1" applyBorder="1" applyAlignment="1" applyProtection="1">
      <alignment horizontal="center"/>
      <protection locked="0"/>
    </xf>
    <xf numFmtId="2" fontId="0" fillId="3" borderId="1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49" fontId="1" fillId="5" borderId="1" xfId="0" applyNumberFormat="1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0" fontId="3" fillId="5" borderId="1" xfId="0" applyFont="1" applyFill="1" applyBorder="1" applyAlignment="1" applyProtection="1">
      <alignment horizontal="center"/>
    </xf>
    <xf numFmtId="0" fontId="0" fillId="0" borderId="0" xfId="0" applyAlignment="1"/>
    <xf numFmtId="0" fontId="0" fillId="0" borderId="0" xfId="0"/>
    <xf numFmtId="0" fontId="10" fillId="0" borderId="0" xfId="3"/>
    <xf numFmtId="0" fontId="8" fillId="0" borderId="9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1" fillId="0" borderId="13" xfId="0" applyFont="1" applyFill="1" applyBorder="1" applyAlignment="1">
      <alignment horizontal="center"/>
    </xf>
    <xf numFmtId="0" fontId="1" fillId="0" borderId="14" xfId="0" applyFont="1" applyFill="1" applyBorder="1" applyAlignment="1">
      <alignment horizontal="center"/>
    </xf>
    <xf numFmtId="0" fontId="10" fillId="0" borderId="0" xfId="3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8" fillId="0" borderId="10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0" fillId="0" borderId="0" xfId="0" applyAlignment="1">
      <alignment horizontal="center" wrapText="1"/>
    </xf>
  </cellXfs>
  <cellStyles count="4">
    <cellStyle name="Hyperlink" xfId="3" builtinId="8"/>
    <cellStyle name="Normal" xfId="0" builtinId="0"/>
    <cellStyle name="Normal 2" xfId="1" xr:uid="{00000000-0005-0000-0000-000001000000}"/>
    <cellStyle name="Percent" xfId="2" builtinId="5"/>
  </cellStyles>
  <dxfs count="0"/>
  <tableStyles count="0" defaultTableStyle="TableStyleMedium9" defaultPivotStyle="PivotStyleLight16"/>
  <colors>
    <mruColors>
      <color rgb="FFCCFFCC"/>
      <color rgb="FFFFFF99"/>
      <color rgb="FFFF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323850</xdr:colOff>
      <xdr:row>0</xdr:row>
      <xdr:rowOff>57150</xdr:rowOff>
    </xdr:from>
    <xdr:to>
      <xdr:col>6</xdr:col>
      <xdr:colOff>457200</xdr:colOff>
      <xdr:row>1</xdr:row>
      <xdr:rowOff>152400</xdr:rowOff>
    </xdr:to>
    <xdr:pic>
      <xdr:nvPicPr>
        <xdr:cNvPr id="2" name="Picture 3" descr="mesa-az-CMYK-300dpi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24525" y="57150"/>
          <a:ext cx="7239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171450</xdr:colOff>
          <xdr:row>20</xdr:row>
          <xdr:rowOff>9525</xdr:rowOff>
        </xdr:from>
        <xdr:to>
          <xdr:col>13</xdr:col>
          <xdr:colOff>752475</xdr:colOff>
          <xdr:row>22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Insert Pump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190500</xdr:colOff>
          <xdr:row>2</xdr:row>
          <xdr:rowOff>0</xdr:rowOff>
        </xdr:from>
        <xdr:to>
          <xdr:col>18</xdr:col>
          <xdr:colOff>609600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Retrieve Pump Curves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hyperlink" Target="https://pump-assessment-utility.herokuapp.com/InsertPumpTest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http://localhost:3000/InsertPumpTest" TargetMode="External"/><Relationship Id="rId1" Type="http://schemas.openxmlformats.org/officeDocument/2006/relationships/hyperlink" Target="http://localhost:3000/InsertPumpTest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Z52"/>
  <sheetViews>
    <sheetView tabSelected="1" zoomScale="85" zoomScaleNormal="85" workbookViewId="0">
      <selection activeCell="E4" sqref="E4"/>
    </sheetView>
  </sheetViews>
  <sheetFormatPr defaultRowHeight="15" x14ac:dyDescent="0.25"/>
  <cols>
    <col min="1" max="1" width="27.7109375" customWidth="1"/>
    <col min="2" max="2" width="13.5703125" customWidth="1"/>
    <col min="3" max="3" width="8.85546875" customWidth="1"/>
    <col min="4" max="4" width="12.5703125" customWidth="1"/>
    <col min="5" max="5" width="18.28515625" customWidth="1"/>
    <col min="6" max="6" width="8.85546875" customWidth="1"/>
    <col min="7" max="8" width="8.42578125" customWidth="1"/>
    <col min="9" max="10" width="11" customWidth="1"/>
    <col min="11" max="11" width="11.7109375" customWidth="1"/>
    <col min="12" max="12" width="3.42578125" customWidth="1"/>
    <col min="13" max="13" width="7" customWidth="1"/>
    <col min="14" max="14" width="14.42578125" customWidth="1"/>
    <col min="15" max="15" width="25.42578125" customWidth="1"/>
    <col min="16" max="16" width="23" customWidth="1"/>
    <col min="19" max="19" width="10.7109375" customWidth="1"/>
    <col min="20" max="20" width="10.42578125" customWidth="1"/>
    <col min="22" max="22" width="10.28515625" customWidth="1"/>
  </cols>
  <sheetData>
    <row r="1" spans="1:19" ht="21" x14ac:dyDescent="0.35">
      <c r="A1" s="5" t="s">
        <v>12</v>
      </c>
      <c r="B1" s="67" t="s">
        <v>59</v>
      </c>
      <c r="C1" s="68">
        <v>1</v>
      </c>
      <c r="D1" s="4"/>
      <c r="E1" s="4"/>
      <c r="G1" s="4"/>
      <c r="H1" s="80" t="s">
        <v>11</v>
      </c>
      <c r="I1" s="81"/>
      <c r="J1" s="81"/>
      <c r="K1" s="82"/>
      <c r="M1" s="80" t="str">
        <f>B18&amp;" "&amp;B19&amp;" Transposed for Model Use"</f>
        <v>Test Pump Curve 2018-2-15 Transposed for Model Use</v>
      </c>
      <c r="N1" s="81"/>
      <c r="O1" s="81"/>
      <c r="P1" s="82"/>
    </row>
    <row r="2" spans="1:19" ht="16.5" thickBot="1" x14ac:dyDescent="0.3">
      <c r="A2" s="6"/>
      <c r="B2" s="14"/>
      <c r="D2" s="8" t="s">
        <v>17</v>
      </c>
      <c r="E2" s="13" t="s">
        <v>63</v>
      </c>
      <c r="G2" s="4"/>
      <c r="H2" s="39" t="s">
        <v>9</v>
      </c>
      <c r="I2" s="10" t="s">
        <v>23</v>
      </c>
      <c r="J2" s="2" t="s">
        <v>10</v>
      </c>
      <c r="K2" s="40" t="s">
        <v>49</v>
      </c>
      <c r="M2" s="45" t="s">
        <v>51</v>
      </c>
      <c r="N2" s="31" t="s">
        <v>5</v>
      </c>
      <c r="O2" s="31" t="s">
        <v>3</v>
      </c>
      <c r="P2" s="46" t="s">
        <v>8</v>
      </c>
      <c r="Q2" s="58"/>
    </row>
    <row r="3" spans="1:19" ht="15.75" customHeight="1" x14ac:dyDescent="0.25">
      <c r="A3" s="72" t="s">
        <v>13</v>
      </c>
      <c r="B3" s="73"/>
      <c r="D3" s="9" t="s">
        <v>19</v>
      </c>
      <c r="E3" s="66" t="s">
        <v>71</v>
      </c>
      <c r="G3">
        <v>1</v>
      </c>
      <c r="H3" s="11">
        <v>202.89</v>
      </c>
      <c r="I3" s="30">
        <f t="shared" ref="I3:I8" si="0">IF(J3&lt;&gt;"",J3*1440/1000000,NA())</f>
        <v>0</v>
      </c>
      <c r="J3" s="12">
        <v>0</v>
      </c>
      <c r="K3" s="41">
        <v>0</v>
      </c>
      <c r="M3" s="47">
        <v>1</v>
      </c>
      <c r="N3" s="37">
        <f t="shared" ref="N3:P12" si="1">VLOOKUP(N$2,$A$20:$K$39,1+$M3,FALSE)</f>
        <v>313.18280000000004</v>
      </c>
      <c r="O3" s="32">
        <f t="shared" si="1"/>
        <v>0</v>
      </c>
      <c r="P3" s="48">
        <f t="shared" si="1"/>
        <v>0</v>
      </c>
      <c r="Q3" s="59"/>
    </row>
    <row r="4" spans="1:19" ht="15.75" customHeight="1" x14ac:dyDescent="0.25">
      <c r="A4" s="25" t="s">
        <v>14</v>
      </c>
      <c r="B4" s="29">
        <f>B5*1440/1000000</f>
        <v>8.0063999999999993</v>
      </c>
      <c r="D4" s="9" t="s">
        <v>61</v>
      </c>
      <c r="E4" s="65" t="s">
        <v>75</v>
      </c>
      <c r="G4">
        <v>2</v>
      </c>
      <c r="H4" s="11">
        <v>164.97</v>
      </c>
      <c r="I4" s="30">
        <f t="shared" si="0"/>
        <v>3.0941136</v>
      </c>
      <c r="J4" s="12">
        <v>2148.69</v>
      </c>
      <c r="K4" s="41">
        <v>0.41870000000000002</v>
      </c>
      <c r="M4" s="47">
        <v>2</v>
      </c>
      <c r="N4" s="37" t="str">
        <f t="shared" si="1"/>
        <v/>
      </c>
      <c r="O4" s="32">
        <f t="shared" si="1"/>
        <v>0</v>
      </c>
      <c r="P4" s="48" t="str">
        <f t="shared" si="1"/>
        <v/>
      </c>
      <c r="Q4" s="59"/>
    </row>
    <row r="5" spans="1:19" ht="16.5" customHeight="1" x14ac:dyDescent="0.25">
      <c r="A5" s="25" t="s">
        <v>15</v>
      </c>
      <c r="B5" s="34">
        <v>5560</v>
      </c>
      <c r="C5" s="21"/>
      <c r="D5" s="9" t="s">
        <v>21</v>
      </c>
      <c r="E5" s="36" t="s">
        <v>62</v>
      </c>
      <c r="G5">
        <v>3</v>
      </c>
      <c r="H5" s="11">
        <v>151.58000000000001</v>
      </c>
      <c r="I5" s="30">
        <f t="shared" si="0"/>
        <v>4.5163152000000002</v>
      </c>
      <c r="J5" s="12">
        <v>3136.33</v>
      </c>
      <c r="K5" s="41">
        <v>0.57489999999999997</v>
      </c>
      <c r="M5" s="47">
        <v>3</v>
      </c>
      <c r="N5" s="37" t="str">
        <f t="shared" si="1"/>
        <v/>
      </c>
      <c r="O5" s="32">
        <f t="shared" si="1"/>
        <v>0</v>
      </c>
      <c r="P5" s="48" t="str">
        <f t="shared" si="1"/>
        <v/>
      </c>
      <c r="Q5" s="59"/>
    </row>
    <row r="6" spans="1:19" ht="15.75" thickBot="1" x14ac:dyDescent="0.3">
      <c r="A6" s="26" t="s">
        <v>16</v>
      </c>
      <c r="B6" s="35">
        <v>120</v>
      </c>
      <c r="D6" s="8" t="s">
        <v>18</v>
      </c>
      <c r="E6" s="13">
        <v>250</v>
      </c>
      <c r="G6">
        <v>4</v>
      </c>
      <c r="H6" s="11">
        <v>135.30000000000001</v>
      </c>
      <c r="I6" s="30">
        <f t="shared" si="0"/>
        <v>5.8827167999999999</v>
      </c>
      <c r="J6" s="12">
        <v>4085.22</v>
      </c>
      <c r="K6" s="41">
        <v>0.68489999999999995</v>
      </c>
      <c r="M6" s="47">
        <v>4</v>
      </c>
      <c r="N6" s="37" t="str">
        <f t="shared" si="1"/>
        <v/>
      </c>
      <c r="O6" s="32">
        <f t="shared" si="1"/>
        <v>0</v>
      </c>
      <c r="P6" s="48" t="str">
        <f t="shared" si="1"/>
        <v/>
      </c>
      <c r="Q6" s="59"/>
    </row>
    <row r="7" spans="1:19" ht="15.75" thickBot="1" x14ac:dyDescent="0.3">
      <c r="D7" s="8" t="s">
        <v>20</v>
      </c>
      <c r="E7" s="13">
        <v>4160</v>
      </c>
      <c r="G7">
        <v>5</v>
      </c>
      <c r="H7" s="11">
        <v>130.82</v>
      </c>
      <c r="I7" s="30">
        <f t="shared" si="0"/>
        <v>6.4436688000000011</v>
      </c>
      <c r="J7" s="12">
        <v>4474.7700000000004</v>
      </c>
      <c r="K7" s="41">
        <v>0.72370000000000001</v>
      </c>
      <c r="M7" s="47">
        <v>5</v>
      </c>
      <c r="N7" s="37" t="str">
        <f t="shared" si="1"/>
        <v/>
      </c>
      <c r="O7" s="32">
        <f t="shared" si="1"/>
        <v>0</v>
      </c>
      <c r="P7" s="48" t="str">
        <f t="shared" si="1"/>
        <v/>
      </c>
      <c r="Q7" s="59"/>
    </row>
    <row r="8" spans="1:19" s="15" customFormat="1" ht="15" customHeight="1" x14ac:dyDescent="0.25">
      <c r="A8" s="72" t="s">
        <v>55</v>
      </c>
      <c r="B8" s="73"/>
      <c r="D8" s="9" t="s">
        <v>22</v>
      </c>
      <c r="E8" s="36" t="s">
        <v>62</v>
      </c>
      <c r="G8">
        <v>6</v>
      </c>
      <c r="H8" s="11">
        <v>125</v>
      </c>
      <c r="I8" s="30">
        <f t="shared" si="0"/>
        <v>7.2675792000000001</v>
      </c>
      <c r="J8" s="12">
        <v>5046.93</v>
      </c>
      <c r="K8" s="41">
        <v>0.77070000000000005</v>
      </c>
      <c r="M8" s="47">
        <v>6</v>
      </c>
      <c r="N8" s="37" t="str">
        <f t="shared" si="1"/>
        <v/>
      </c>
      <c r="O8" s="32">
        <f t="shared" si="1"/>
        <v>0</v>
      </c>
      <c r="P8" s="48" t="str">
        <f t="shared" si="1"/>
        <v/>
      </c>
      <c r="Q8"/>
      <c r="R8"/>
    </row>
    <row r="9" spans="1:19" x14ac:dyDescent="0.25">
      <c r="A9" s="53" t="s">
        <v>45</v>
      </c>
      <c r="B9" s="57">
        <v>1473</v>
      </c>
      <c r="D9" s="8" t="s">
        <v>39</v>
      </c>
      <c r="E9" s="13">
        <v>1785</v>
      </c>
      <c r="G9">
        <v>7</v>
      </c>
      <c r="H9" s="11">
        <v>123.04</v>
      </c>
      <c r="I9" s="30">
        <f>IF(J9&lt;&gt;"",J9*1440/1000000,NA())</f>
        <v>8.0114400000000003</v>
      </c>
      <c r="J9" s="12">
        <v>5563.5</v>
      </c>
      <c r="K9" s="41">
        <v>0.81710000000000005</v>
      </c>
      <c r="M9" s="47">
        <v>7</v>
      </c>
      <c r="N9" s="37" t="str">
        <f t="shared" si="1"/>
        <v/>
      </c>
      <c r="O9" s="32">
        <f t="shared" si="1"/>
        <v>0</v>
      </c>
      <c r="P9" s="48" t="str">
        <f t="shared" si="1"/>
        <v/>
      </c>
    </row>
    <row r="10" spans="1:19" x14ac:dyDescent="0.25">
      <c r="A10" s="55" t="s">
        <v>43</v>
      </c>
      <c r="B10" s="57">
        <v>1444.5</v>
      </c>
      <c r="C10" s="21"/>
      <c r="D10" s="8" t="s">
        <v>56</v>
      </c>
      <c r="E10" s="13">
        <v>0.8</v>
      </c>
      <c r="G10">
        <v>8</v>
      </c>
      <c r="H10" s="11">
        <v>117.22</v>
      </c>
      <c r="I10" s="30">
        <f t="shared" ref="I10:I12" si="2">IF(J10&lt;&gt;"",J10*1440/1000000,NA())</f>
        <v>8.8218288000000005</v>
      </c>
      <c r="J10" s="12">
        <v>6126.27</v>
      </c>
      <c r="K10" s="41">
        <v>0.83589999999999998</v>
      </c>
      <c r="M10" s="47">
        <v>8</v>
      </c>
      <c r="N10" s="37" t="str">
        <f t="shared" si="1"/>
        <v/>
      </c>
      <c r="O10" s="32">
        <f t="shared" si="1"/>
        <v>0</v>
      </c>
      <c r="P10" s="48" t="str">
        <f t="shared" si="1"/>
        <v/>
      </c>
    </row>
    <row r="11" spans="1:19" x14ac:dyDescent="0.25">
      <c r="A11" s="55" t="s">
        <v>46</v>
      </c>
      <c r="B11" s="54" t="s">
        <v>48</v>
      </c>
      <c r="D11" s="8" t="s">
        <v>57</v>
      </c>
      <c r="E11" s="13">
        <v>0.9</v>
      </c>
      <c r="G11">
        <v>9</v>
      </c>
      <c r="H11" s="11">
        <v>91.43</v>
      </c>
      <c r="I11" s="30">
        <f t="shared" si="2"/>
        <v>10.721476800000001</v>
      </c>
      <c r="J11" s="12">
        <v>7445.47</v>
      </c>
      <c r="K11" s="41">
        <v>0.79490000000000005</v>
      </c>
      <c r="M11" s="47">
        <v>9</v>
      </c>
      <c r="N11" s="37" t="str">
        <f t="shared" si="1"/>
        <v/>
      </c>
      <c r="O11" s="32">
        <f t="shared" si="1"/>
        <v>0</v>
      </c>
      <c r="P11" s="48" t="str">
        <f t="shared" si="1"/>
        <v/>
      </c>
    </row>
    <row r="12" spans="1:19" ht="15.75" thickBot="1" x14ac:dyDescent="0.3">
      <c r="A12" s="56" t="s">
        <v>32</v>
      </c>
      <c r="B12" s="35" t="s">
        <v>60</v>
      </c>
      <c r="D12" s="58" t="s">
        <v>64</v>
      </c>
      <c r="E12" s="13"/>
      <c r="G12">
        <v>10</v>
      </c>
      <c r="H12" s="42">
        <v>56.06</v>
      </c>
      <c r="I12" s="30">
        <f t="shared" si="2"/>
        <v>12.5996688</v>
      </c>
      <c r="J12" s="43">
        <v>8749.77</v>
      </c>
      <c r="K12" s="44">
        <v>0.61519999999999997</v>
      </c>
      <c r="M12" s="49">
        <v>10</v>
      </c>
      <c r="N12" s="50" t="str">
        <f t="shared" si="1"/>
        <v/>
      </c>
      <c r="O12" s="51">
        <f t="shared" si="1"/>
        <v>0</v>
      </c>
      <c r="P12" s="52" t="str">
        <f t="shared" si="1"/>
        <v/>
      </c>
    </row>
    <row r="13" spans="1:19" x14ac:dyDescent="0.25">
      <c r="C13" s="21"/>
      <c r="D13" s="58" t="s">
        <v>65</v>
      </c>
      <c r="E13" s="13"/>
      <c r="G13" s="21"/>
    </row>
    <row r="16" spans="1:19" x14ac:dyDescent="0.25">
      <c r="C16" s="21"/>
      <c r="D16" s="74" t="s">
        <v>58</v>
      </c>
      <c r="E16" s="75"/>
      <c r="G16" s="21"/>
      <c r="J16" s="38" t="s">
        <v>52</v>
      </c>
      <c r="K16" s="33"/>
      <c r="N16" s="71" t="s">
        <v>72</v>
      </c>
      <c r="O16" s="70"/>
      <c r="P16" s="70"/>
      <c r="Q16" s="70"/>
      <c r="R16" s="79" t="s">
        <v>68</v>
      </c>
      <c r="S16" s="79"/>
    </row>
    <row r="17" spans="1:26" ht="15.75" customHeight="1" x14ac:dyDescent="0.25">
      <c r="C17" s="21"/>
      <c r="D17" s="10" t="s">
        <v>14</v>
      </c>
      <c r="E17" s="61">
        <v>8.82</v>
      </c>
      <c r="G17" s="21"/>
      <c r="J17" s="38" t="s">
        <v>53</v>
      </c>
      <c r="K17" s="28"/>
      <c r="N17" s="76" t="s">
        <v>66</v>
      </c>
      <c r="O17" s="76"/>
      <c r="P17" s="76"/>
      <c r="Q17" s="76"/>
      <c r="R17" s="79" t="s">
        <v>67</v>
      </c>
      <c r="S17" s="79"/>
    </row>
    <row r="18" spans="1:26" ht="15.75" x14ac:dyDescent="0.25">
      <c r="A18" s="1"/>
      <c r="B18" s="27" t="s">
        <v>50</v>
      </c>
      <c r="D18" s="10" t="s">
        <v>15</v>
      </c>
      <c r="E18" s="28">
        <f>E17*1000000/1440</f>
        <v>6125</v>
      </c>
      <c r="J18" s="38" t="s">
        <v>54</v>
      </c>
      <c r="K18" s="17"/>
    </row>
    <row r="19" spans="1:26" x14ac:dyDescent="0.25">
      <c r="A19" s="16" t="s">
        <v>1</v>
      </c>
      <c r="B19" s="60" t="s">
        <v>69</v>
      </c>
      <c r="C19" s="21"/>
      <c r="F19" s="21"/>
      <c r="L19" s="7"/>
    </row>
    <row r="20" spans="1:26" x14ac:dyDescent="0.25">
      <c r="A20" s="2" t="s">
        <v>0</v>
      </c>
      <c r="B20" s="2" t="s">
        <v>24</v>
      </c>
      <c r="C20" s="2" t="s">
        <v>25</v>
      </c>
      <c r="D20" s="2" t="s">
        <v>26</v>
      </c>
      <c r="E20" s="2" t="s">
        <v>27</v>
      </c>
      <c r="F20" s="2" t="s">
        <v>28</v>
      </c>
      <c r="G20" s="2" t="s">
        <v>29</v>
      </c>
      <c r="H20" s="2" t="s">
        <v>30</v>
      </c>
      <c r="I20" s="2" t="s">
        <v>31</v>
      </c>
      <c r="J20" s="2" t="s">
        <v>41</v>
      </c>
      <c r="K20" s="2" t="s">
        <v>42</v>
      </c>
      <c r="L20" s="7"/>
      <c r="O20" s="71"/>
    </row>
    <row r="21" spans="1:26" x14ac:dyDescent="0.25">
      <c r="A21" s="3" t="s">
        <v>2</v>
      </c>
      <c r="B21" s="60"/>
      <c r="C21" s="60"/>
      <c r="D21" s="60"/>
      <c r="E21" s="60"/>
      <c r="F21" s="60"/>
      <c r="G21" s="60"/>
      <c r="H21" s="60"/>
      <c r="I21" s="60"/>
      <c r="J21" s="60"/>
      <c r="K21" s="60"/>
      <c r="L21" s="7"/>
    </row>
    <row r="22" spans="1:26" x14ac:dyDescent="0.25">
      <c r="A22" s="3" t="s">
        <v>40</v>
      </c>
      <c r="B22" s="61">
        <v>100</v>
      </c>
      <c r="C22" s="61"/>
      <c r="D22" s="61"/>
      <c r="E22" s="61"/>
      <c r="F22" s="61"/>
      <c r="G22" s="61"/>
      <c r="H22" s="61"/>
      <c r="I22" s="61"/>
      <c r="J22" s="61"/>
      <c r="K22" s="61"/>
      <c r="L22" s="7"/>
    </row>
    <row r="23" spans="1:26" x14ac:dyDescent="0.25">
      <c r="A23" s="3" t="str">
        <f>IF(AND(B11="NA",ISNUMBER(B10)),"Reservoir Level (ft):",IF(AND(B10="NA",ISNUMBER(B11)),"Suction Pressure (psi):","Error Suction Configuration"))</f>
        <v>Reservoir Level (ft):</v>
      </c>
      <c r="B23" s="62">
        <v>23.05</v>
      </c>
      <c r="C23" s="62"/>
      <c r="D23" s="62"/>
      <c r="E23" s="62"/>
      <c r="F23" s="62"/>
      <c r="G23" s="62"/>
      <c r="H23" s="62"/>
      <c r="I23" s="62"/>
      <c r="J23" s="62"/>
      <c r="K23" s="62"/>
      <c r="L23" s="7"/>
    </row>
    <row r="24" spans="1:26" x14ac:dyDescent="0.25">
      <c r="A24" s="3" t="s">
        <v>44</v>
      </c>
      <c r="B24" s="64">
        <v>133.21766233766235</v>
      </c>
      <c r="C24" s="64"/>
      <c r="D24" s="64"/>
      <c r="E24" s="64"/>
      <c r="F24" s="64"/>
      <c r="G24" s="64"/>
      <c r="H24" s="64"/>
      <c r="I24" s="64"/>
      <c r="J24" s="64"/>
      <c r="K24" s="64"/>
      <c r="O24" s="76" t="s">
        <v>66</v>
      </c>
      <c r="P24" s="76"/>
      <c r="Q24" s="76"/>
      <c r="R24" s="76"/>
      <c r="S24" s="76"/>
      <c r="T24" s="76"/>
    </row>
    <row r="25" spans="1:26" x14ac:dyDescent="0.25">
      <c r="A25" s="3" t="s">
        <v>47</v>
      </c>
      <c r="B25" s="61">
        <v>58.5</v>
      </c>
      <c r="C25" s="61"/>
      <c r="D25" s="61"/>
      <c r="E25" s="61"/>
      <c r="F25" s="61"/>
      <c r="G25" s="61"/>
      <c r="H25" s="61"/>
      <c r="I25" s="61"/>
      <c r="J25" s="61"/>
      <c r="K25" s="61"/>
      <c r="O25" s="83" t="s">
        <v>73</v>
      </c>
      <c r="P25" s="83"/>
      <c r="Q25" s="83"/>
      <c r="R25" s="83"/>
      <c r="S25" s="83"/>
      <c r="T25" s="83"/>
      <c r="U25" s="83"/>
      <c r="V25" s="83"/>
      <c r="W25" s="83"/>
      <c r="X25" s="83"/>
      <c r="Y25" s="83"/>
      <c r="Z25" s="83"/>
    </row>
    <row r="26" spans="1:26" x14ac:dyDescent="0.25">
      <c r="A26" s="3" t="s">
        <v>3</v>
      </c>
      <c r="B26" s="63">
        <v>0</v>
      </c>
      <c r="C26" s="63"/>
      <c r="D26" s="63"/>
      <c r="E26" s="63"/>
      <c r="F26" s="63"/>
      <c r="G26" s="63"/>
      <c r="H26" s="63"/>
      <c r="I26" s="63"/>
      <c r="J26" s="63"/>
      <c r="K26" s="63"/>
      <c r="M26" s="79" t="s">
        <v>70</v>
      </c>
      <c r="N26" s="79"/>
      <c r="O26" s="83"/>
      <c r="P26" s="83"/>
      <c r="Q26" s="83"/>
      <c r="R26" s="83"/>
      <c r="S26" s="83"/>
      <c r="T26" s="83"/>
      <c r="U26" s="83"/>
      <c r="V26" s="83"/>
      <c r="W26" s="83"/>
      <c r="X26" s="83"/>
      <c r="Y26" s="83"/>
      <c r="Z26" s="83"/>
    </row>
    <row r="27" spans="1:26" x14ac:dyDescent="0.25">
      <c r="A27" s="3" t="s">
        <v>33</v>
      </c>
      <c r="B27" s="61">
        <v>59</v>
      </c>
      <c r="C27" s="61"/>
      <c r="D27" s="61"/>
      <c r="E27" s="61"/>
      <c r="F27" s="61"/>
      <c r="G27" s="61"/>
      <c r="H27" s="61"/>
      <c r="I27" s="61"/>
      <c r="J27" s="61"/>
      <c r="K27" s="61"/>
      <c r="M27" s="79" t="s">
        <v>74</v>
      </c>
      <c r="N27" s="79"/>
      <c r="O27" s="83"/>
      <c r="P27" s="83"/>
      <c r="Q27" s="83"/>
      <c r="R27" s="83"/>
      <c r="S27" s="83"/>
      <c r="T27" s="83"/>
      <c r="U27" s="83"/>
      <c r="V27" s="83"/>
      <c r="W27" s="83"/>
      <c r="X27" s="83"/>
      <c r="Y27" s="83"/>
      <c r="Z27" s="83"/>
    </row>
    <row r="28" spans="1:26" x14ac:dyDescent="0.25">
      <c r="A28" s="3" t="s">
        <v>34</v>
      </c>
      <c r="B28" s="61">
        <v>59</v>
      </c>
      <c r="C28" s="61"/>
      <c r="D28" s="61"/>
      <c r="E28" s="61"/>
      <c r="F28" s="61"/>
      <c r="G28" s="61"/>
      <c r="H28" s="61"/>
      <c r="I28" s="61"/>
      <c r="J28" s="61"/>
      <c r="K28" s="61"/>
      <c r="M28" s="69"/>
      <c r="N28" s="69"/>
      <c r="O28" s="83"/>
      <c r="P28" s="83"/>
      <c r="Q28" s="83"/>
      <c r="R28" s="83"/>
      <c r="S28" s="83"/>
      <c r="T28" s="83"/>
      <c r="U28" s="83"/>
      <c r="V28" s="83"/>
      <c r="W28" s="83"/>
      <c r="X28" s="83"/>
      <c r="Y28" s="83"/>
      <c r="Z28" s="83"/>
    </row>
    <row r="29" spans="1:26" x14ac:dyDescent="0.25">
      <c r="A29" s="3" t="s">
        <v>35</v>
      </c>
      <c r="B29" s="61">
        <v>59</v>
      </c>
      <c r="C29" s="61"/>
      <c r="D29" s="61"/>
      <c r="E29" s="61"/>
      <c r="F29" s="61"/>
      <c r="G29" s="61"/>
      <c r="H29" s="61"/>
      <c r="I29" s="61"/>
      <c r="J29" s="61"/>
      <c r="K29" s="61"/>
      <c r="O29" s="83"/>
      <c r="P29" s="83"/>
      <c r="Q29" s="83"/>
      <c r="R29" s="83"/>
      <c r="S29" s="83"/>
      <c r="T29" s="83"/>
      <c r="U29" s="83"/>
      <c r="V29" s="83"/>
      <c r="W29" s="83"/>
      <c r="X29" s="83"/>
      <c r="Y29" s="83"/>
      <c r="Z29" s="83"/>
    </row>
    <row r="30" spans="1:26" x14ac:dyDescent="0.25">
      <c r="A30" s="3" t="s">
        <v>36</v>
      </c>
      <c r="B30" s="61">
        <v>4070</v>
      </c>
      <c r="C30" s="61"/>
      <c r="D30" s="61"/>
      <c r="E30" s="61"/>
      <c r="F30" s="61"/>
      <c r="G30" s="61"/>
      <c r="H30" s="61"/>
      <c r="I30" s="61"/>
      <c r="J30" s="61"/>
      <c r="K30" s="61"/>
      <c r="O30" s="83"/>
      <c r="P30" s="83"/>
      <c r="Q30" s="83"/>
      <c r="R30" s="83"/>
      <c r="S30" s="83"/>
      <c r="T30" s="83"/>
      <c r="U30" s="83"/>
      <c r="V30" s="83"/>
      <c r="W30" s="83"/>
      <c r="X30" s="83"/>
      <c r="Y30" s="83"/>
      <c r="Z30" s="83"/>
    </row>
    <row r="31" spans="1:26" x14ac:dyDescent="0.25">
      <c r="A31" s="3" t="s">
        <v>37</v>
      </c>
      <c r="B31" s="61">
        <v>4070</v>
      </c>
      <c r="C31" s="61"/>
      <c r="D31" s="61"/>
      <c r="E31" s="61"/>
      <c r="F31" s="61"/>
      <c r="G31" s="61"/>
      <c r="H31" s="61"/>
      <c r="I31" s="61"/>
      <c r="J31" s="61"/>
      <c r="K31" s="61"/>
      <c r="O31" s="83"/>
      <c r="P31" s="83"/>
      <c r="Q31" s="83"/>
      <c r="R31" s="83"/>
      <c r="S31" s="83"/>
      <c r="T31" s="83"/>
      <c r="U31" s="83"/>
      <c r="V31" s="83"/>
      <c r="W31" s="83"/>
      <c r="X31" s="83"/>
      <c r="Y31" s="83"/>
      <c r="Z31" s="83"/>
    </row>
    <row r="32" spans="1:26" x14ac:dyDescent="0.25">
      <c r="A32" s="3" t="s">
        <v>38</v>
      </c>
      <c r="B32" s="61">
        <v>4070</v>
      </c>
      <c r="C32" s="61"/>
      <c r="D32" s="61"/>
      <c r="E32" s="61"/>
      <c r="F32" s="61"/>
      <c r="G32" s="61"/>
      <c r="H32" s="61"/>
      <c r="I32" s="61"/>
      <c r="J32" s="61"/>
      <c r="K32" s="61"/>
      <c r="O32" s="83"/>
      <c r="P32" s="83"/>
      <c r="Q32" s="83"/>
      <c r="R32" s="83"/>
      <c r="S32" s="83"/>
      <c r="T32" s="83"/>
      <c r="U32" s="83"/>
      <c r="V32" s="83"/>
      <c r="W32" s="83"/>
      <c r="X32" s="83"/>
      <c r="Y32" s="83"/>
      <c r="Z32" s="83"/>
    </row>
    <row r="33" spans="1:26" x14ac:dyDescent="0.25">
      <c r="A33" s="3" t="s">
        <v>4</v>
      </c>
      <c r="B33" s="18">
        <f t="shared" ref="B33:K33" si="3">IF(ISERR((B36*B35*$E$10*1.732)/1000)=FALSE,(B36*B35*$E$10*1.732)/1000,"")</f>
        <v>332.72412799999995</v>
      </c>
      <c r="C33" s="18" t="str">
        <f t="shared" si="3"/>
        <v/>
      </c>
      <c r="D33" s="18" t="str">
        <f t="shared" si="3"/>
        <v/>
      </c>
      <c r="E33" s="18" t="str">
        <f t="shared" si="3"/>
        <v/>
      </c>
      <c r="F33" s="18" t="str">
        <f t="shared" si="3"/>
        <v/>
      </c>
      <c r="G33" s="18" t="str">
        <f t="shared" si="3"/>
        <v/>
      </c>
      <c r="H33" s="18" t="str">
        <f t="shared" si="3"/>
        <v/>
      </c>
      <c r="I33" s="18" t="str">
        <f t="shared" si="3"/>
        <v/>
      </c>
      <c r="J33" s="18" t="str">
        <f t="shared" si="3"/>
        <v/>
      </c>
      <c r="K33" s="18" t="str">
        <f t="shared" si="3"/>
        <v/>
      </c>
      <c r="O33" s="83"/>
      <c r="P33" s="83"/>
      <c r="Q33" s="83"/>
      <c r="R33" s="83"/>
      <c r="S33" s="83"/>
      <c r="T33" s="83"/>
      <c r="U33" s="83"/>
      <c r="V33" s="83"/>
      <c r="W33" s="83"/>
      <c r="X33" s="83"/>
      <c r="Y33" s="83"/>
      <c r="Z33" s="83"/>
    </row>
    <row r="34" spans="1:26" x14ac:dyDescent="0.25">
      <c r="A34" s="3" t="s">
        <v>7</v>
      </c>
      <c r="B34" s="19">
        <f>IF(B33&lt;&gt;"",1.341*B33,"")</f>
        <v>446.18305564799994</v>
      </c>
      <c r="C34" s="19" t="str">
        <f t="shared" ref="C34:K34" si="4">IF(C33&lt;&gt;"",1.341*C33,"")</f>
        <v/>
      </c>
      <c r="D34" s="19" t="str">
        <f t="shared" si="4"/>
        <v/>
      </c>
      <c r="E34" s="19" t="str">
        <f t="shared" si="4"/>
        <v/>
      </c>
      <c r="F34" s="19" t="str">
        <f t="shared" si="4"/>
        <v/>
      </c>
      <c r="G34" s="19" t="str">
        <f t="shared" si="4"/>
        <v/>
      </c>
      <c r="H34" s="19" t="str">
        <f t="shared" si="4"/>
        <v/>
      </c>
      <c r="I34" s="19" t="str">
        <f t="shared" si="4"/>
        <v/>
      </c>
      <c r="J34" s="19" t="str">
        <f t="shared" si="4"/>
        <v/>
      </c>
      <c r="K34" s="19" t="str">
        <f t="shared" si="4"/>
        <v/>
      </c>
      <c r="O34" s="83"/>
      <c r="P34" s="83"/>
      <c r="Q34" s="83"/>
      <c r="R34" s="83"/>
      <c r="S34" s="83"/>
      <c r="T34" s="83"/>
      <c r="U34" s="83"/>
      <c r="V34" s="83"/>
      <c r="W34" s="83"/>
      <c r="X34" s="83"/>
      <c r="Y34" s="83"/>
      <c r="Z34" s="83"/>
    </row>
    <row r="35" spans="1:26" x14ac:dyDescent="0.25">
      <c r="A35" s="3" t="str">
        <f>"Ave. Amps "  &amp; B19</f>
        <v>Ave. Amps 2018-2-15</v>
      </c>
      <c r="B35" s="19">
        <f>IF(B27&lt;&gt;"",AVERAGE(B27:B29),"")</f>
        <v>59</v>
      </c>
      <c r="C35" s="19" t="str">
        <f t="shared" ref="C35:K35" si="5">IF(C27&lt;&gt;"",AVERAGE(C27:C29),"")</f>
        <v/>
      </c>
      <c r="D35" s="19" t="str">
        <f t="shared" si="5"/>
        <v/>
      </c>
      <c r="E35" s="19" t="str">
        <f t="shared" si="5"/>
        <v/>
      </c>
      <c r="F35" s="19" t="str">
        <f t="shared" si="5"/>
        <v/>
      </c>
      <c r="G35" s="19" t="str">
        <f t="shared" si="5"/>
        <v/>
      </c>
      <c r="H35" s="19" t="str">
        <f t="shared" si="5"/>
        <v/>
      </c>
      <c r="I35" s="19" t="str">
        <f t="shared" si="5"/>
        <v/>
      </c>
      <c r="J35" s="19" t="str">
        <f t="shared" si="5"/>
        <v/>
      </c>
      <c r="K35" s="19" t="str">
        <f t="shared" si="5"/>
        <v/>
      </c>
      <c r="O35" s="83"/>
      <c r="P35" s="83"/>
      <c r="Q35" s="83"/>
      <c r="R35" s="83"/>
      <c r="S35" s="83"/>
      <c r="T35" s="83"/>
      <c r="U35" s="83"/>
      <c r="V35" s="83"/>
      <c r="W35" s="83"/>
      <c r="X35" s="83"/>
      <c r="Y35" s="83"/>
      <c r="Z35" s="83"/>
    </row>
    <row r="36" spans="1:26" x14ac:dyDescent="0.25">
      <c r="A36" s="24" t="str">
        <f>"Ave. Volts "&amp; B19</f>
        <v>Ave. Volts 2018-2-15</v>
      </c>
      <c r="B36" s="23">
        <f>IF(ISERR(AVERAGE(B30:B32))=FALSE,AVERAGE(B30:B32),"")</f>
        <v>4070</v>
      </c>
      <c r="C36" s="23" t="str">
        <f t="shared" ref="C36:K36" si="6">IF(ISERR(AVERAGE(C30:C32))=FALSE,AVERAGE(C30:C32),"")</f>
        <v/>
      </c>
      <c r="D36" s="23" t="str">
        <f t="shared" si="6"/>
        <v/>
      </c>
      <c r="E36" s="23" t="str">
        <f>IF(ISERR(AVERAGE(E30:E32))=FALSE,AVERAGE(E30:E32),"")</f>
        <v/>
      </c>
      <c r="F36" s="23" t="str">
        <f t="shared" si="6"/>
        <v/>
      </c>
      <c r="G36" s="23" t="str">
        <f t="shared" si="6"/>
        <v/>
      </c>
      <c r="H36" s="23" t="str">
        <f>IF(ISERR(AVERAGE(H30:H32))=FALSE,AVERAGE(H30:H32),"")</f>
        <v/>
      </c>
      <c r="I36" s="23" t="str">
        <f t="shared" si="6"/>
        <v/>
      </c>
      <c r="J36" s="23" t="str">
        <f t="shared" si="6"/>
        <v/>
      </c>
      <c r="K36" s="23" t="str">
        <f t="shared" si="6"/>
        <v/>
      </c>
      <c r="O36" s="83"/>
      <c r="P36" s="83"/>
      <c r="Q36" s="83"/>
      <c r="R36" s="83"/>
      <c r="S36" s="83"/>
      <c r="T36" s="83"/>
      <c r="U36" s="83"/>
      <c r="V36" s="83"/>
      <c r="W36" s="83"/>
      <c r="X36" s="83"/>
      <c r="Y36" s="83"/>
      <c r="Z36" s="83"/>
    </row>
    <row r="37" spans="1:26" x14ac:dyDescent="0.25">
      <c r="A37" s="3" t="s">
        <v>5</v>
      </c>
      <c r="B37" s="18">
        <f t="shared" ref="B37:K37" si="7">IF(B24="","",IF(LEFT($A$23,5)="Error","Suction Type?",IF(LEFT($A$23,5)="Reser",(B24*2.31+$B$9)-(B23+$B$10),IF(LEFT($A$23,5)="Sucti",(B24*2.31+$B$9)-((B23*2.31)+$B$11)))))</f>
        <v>313.18280000000004</v>
      </c>
      <c r="C37" s="18" t="str">
        <f t="shared" si="7"/>
        <v/>
      </c>
      <c r="D37" s="18" t="str">
        <f t="shared" si="7"/>
        <v/>
      </c>
      <c r="E37" s="18" t="str">
        <f t="shared" si="7"/>
        <v/>
      </c>
      <c r="F37" s="18" t="str">
        <f t="shared" si="7"/>
        <v/>
      </c>
      <c r="G37" s="18" t="str">
        <f t="shared" si="7"/>
        <v/>
      </c>
      <c r="H37" s="18" t="str">
        <f t="shared" si="7"/>
        <v/>
      </c>
      <c r="I37" s="18" t="str">
        <f t="shared" si="7"/>
        <v/>
      </c>
      <c r="J37" s="18" t="str">
        <f t="shared" si="7"/>
        <v/>
      </c>
      <c r="K37" s="18" t="str">
        <f t="shared" si="7"/>
        <v/>
      </c>
      <c r="O37" s="83"/>
      <c r="P37" s="83"/>
      <c r="Q37" s="83"/>
      <c r="R37" s="83"/>
      <c r="S37" s="83"/>
      <c r="T37" s="83"/>
      <c r="U37" s="83"/>
      <c r="V37" s="83"/>
      <c r="W37" s="83"/>
      <c r="X37" s="83"/>
      <c r="Y37" s="83"/>
      <c r="Z37" s="83"/>
    </row>
    <row r="38" spans="1:26" x14ac:dyDescent="0.25">
      <c r="A38" s="3" t="s">
        <v>6</v>
      </c>
      <c r="B38" s="19">
        <f t="shared" ref="B38:K38" si="8">IF(B26="","",B26*1000000/1440)</f>
        <v>0</v>
      </c>
      <c r="C38" s="19" t="str">
        <f t="shared" si="8"/>
        <v/>
      </c>
      <c r="D38" s="19" t="str">
        <f t="shared" si="8"/>
        <v/>
      </c>
      <c r="E38" s="19" t="str">
        <f t="shared" si="8"/>
        <v/>
      </c>
      <c r="F38" s="19" t="str">
        <f t="shared" si="8"/>
        <v/>
      </c>
      <c r="G38" s="19" t="str">
        <f t="shared" si="8"/>
        <v/>
      </c>
      <c r="H38" s="19" t="str">
        <f t="shared" si="8"/>
        <v/>
      </c>
      <c r="I38" s="19" t="str">
        <f t="shared" si="8"/>
        <v/>
      </c>
      <c r="J38" s="19" t="str">
        <f t="shared" si="8"/>
        <v/>
      </c>
      <c r="K38" s="19" t="str">
        <f t="shared" si="8"/>
        <v/>
      </c>
      <c r="O38" s="83"/>
      <c r="P38" s="83"/>
      <c r="Q38" s="83"/>
      <c r="R38" s="83"/>
      <c r="S38" s="83"/>
      <c r="T38" s="83"/>
      <c r="U38" s="83"/>
      <c r="V38" s="83"/>
      <c r="W38" s="83"/>
      <c r="X38" s="83"/>
      <c r="Y38" s="83"/>
      <c r="Z38" s="83"/>
    </row>
    <row r="39" spans="1:26" x14ac:dyDescent="0.25">
      <c r="A39" s="3" t="s">
        <v>8</v>
      </c>
      <c r="B39" s="20">
        <f>IF(B33&lt;&gt;"",B37*B38/3960/B34,"")</f>
        <v>0</v>
      </c>
      <c r="C39" s="20" t="str">
        <f t="shared" ref="C39:K39" si="9">IF(C33&lt;&gt;"",C37*C38/3960/C34,"")</f>
        <v/>
      </c>
      <c r="D39" s="20" t="str">
        <f t="shared" si="9"/>
        <v/>
      </c>
      <c r="E39" s="20" t="str">
        <f t="shared" si="9"/>
        <v/>
      </c>
      <c r="F39" s="20" t="str">
        <f t="shared" si="9"/>
        <v/>
      </c>
      <c r="G39" s="20" t="str">
        <f t="shared" si="9"/>
        <v/>
      </c>
      <c r="H39" s="20" t="str">
        <f t="shared" si="9"/>
        <v/>
      </c>
      <c r="I39" s="20" t="str">
        <f t="shared" si="9"/>
        <v/>
      </c>
      <c r="J39" s="20" t="str">
        <f t="shared" si="9"/>
        <v/>
      </c>
      <c r="K39" s="20" t="str">
        <f t="shared" si="9"/>
        <v/>
      </c>
      <c r="O39" s="83"/>
      <c r="P39" s="83"/>
      <c r="Q39" s="83"/>
      <c r="R39" s="83"/>
      <c r="S39" s="83"/>
      <c r="T39" s="83"/>
      <c r="U39" s="83"/>
      <c r="V39" s="83"/>
      <c r="W39" s="83"/>
      <c r="X39" s="83"/>
      <c r="Y39" s="83"/>
      <c r="Z39" s="83"/>
    </row>
    <row r="40" spans="1:26" x14ac:dyDescent="0.25">
      <c r="B40" s="22"/>
      <c r="O40" s="83"/>
      <c r="P40" s="83"/>
      <c r="Q40" s="83"/>
      <c r="R40" s="83"/>
      <c r="S40" s="83"/>
      <c r="T40" s="83"/>
      <c r="U40" s="83"/>
      <c r="V40" s="83"/>
      <c r="W40" s="83"/>
      <c r="X40" s="83"/>
      <c r="Y40" s="83"/>
      <c r="Z40" s="83"/>
    </row>
    <row r="42" spans="1:26" x14ac:dyDescent="0.25">
      <c r="N42" s="78"/>
      <c r="O42" s="78"/>
    </row>
    <row r="43" spans="1:26" x14ac:dyDescent="0.25">
      <c r="N43" s="77"/>
      <c r="O43" s="77"/>
    </row>
    <row r="44" spans="1:26" x14ac:dyDescent="0.25">
      <c r="N44" s="77"/>
      <c r="O44" s="77"/>
    </row>
    <row r="45" spans="1:26" x14ac:dyDescent="0.25">
      <c r="N45" s="77"/>
      <c r="O45" s="77"/>
    </row>
    <row r="46" spans="1:26" x14ac:dyDescent="0.25">
      <c r="N46" s="77"/>
      <c r="O46" s="77"/>
    </row>
    <row r="47" spans="1:26" x14ac:dyDescent="0.25">
      <c r="N47" s="77"/>
      <c r="O47" s="77"/>
    </row>
    <row r="48" spans="1:26" x14ac:dyDescent="0.25">
      <c r="N48" s="77"/>
      <c r="O48" s="77"/>
    </row>
    <row r="49" spans="14:15" x14ac:dyDescent="0.25">
      <c r="N49" s="77"/>
      <c r="O49" s="77"/>
    </row>
    <row r="50" spans="14:15" x14ac:dyDescent="0.25">
      <c r="N50" s="77"/>
      <c r="O50" s="77"/>
    </row>
    <row r="51" spans="14:15" x14ac:dyDescent="0.25">
      <c r="N51" s="77"/>
      <c r="O51" s="77"/>
    </row>
    <row r="52" spans="14:15" x14ac:dyDescent="0.25">
      <c r="N52" s="77"/>
      <c r="O52" s="77"/>
    </row>
  </sheetData>
  <sheetProtection selectLockedCells="1"/>
  <dataConsolidate/>
  <mergeCells count="23">
    <mergeCell ref="M27:N27"/>
    <mergeCell ref="H1:K1"/>
    <mergeCell ref="M1:P1"/>
    <mergeCell ref="O25:Z40"/>
    <mergeCell ref="R16:S16"/>
    <mergeCell ref="R17:S17"/>
    <mergeCell ref="O24:T24"/>
    <mergeCell ref="A3:B3"/>
    <mergeCell ref="A8:B8"/>
    <mergeCell ref="D16:E16"/>
    <mergeCell ref="N17:Q17"/>
    <mergeCell ref="N52:O52"/>
    <mergeCell ref="N43:O43"/>
    <mergeCell ref="N44:O44"/>
    <mergeCell ref="N45:O45"/>
    <mergeCell ref="N46:O46"/>
    <mergeCell ref="N47:O47"/>
    <mergeCell ref="N42:O42"/>
    <mergeCell ref="N48:O48"/>
    <mergeCell ref="N49:O49"/>
    <mergeCell ref="N50:O50"/>
    <mergeCell ref="N51:O51"/>
    <mergeCell ref="M26:N26"/>
  </mergeCells>
  <dataValidations count="2">
    <dataValidation allowBlank="1" showInputMessage="1" showErrorMessage="1" promptTitle="Suction Configuration:" prompt="If the pump pulls directly from a reservoir enter the reservoir bottom elevation here. Other wise enter &quot;NA&quot;." sqref="B10" xr:uid="{00000000-0002-0000-0000-000000000000}"/>
    <dataValidation allowBlank="1" showInputMessage="1" showErrorMessage="1" promptTitle="Suction Configuration:" prompt="If the pump DOES NOT pull directly from a reservoir enter the suction header centerline elevation here. Other wise enter &quot;NA&quot;." sqref="B11" xr:uid="{00000000-0002-0000-0000-000001000000}"/>
  </dataValidations>
  <hyperlinks>
    <hyperlink ref="N17" r:id="rId1" xr:uid="{C0D6942D-6DE6-45E4-B452-8DE7B718F21E}"/>
    <hyperlink ref="O24" r:id="rId2" xr:uid="{2D73A58E-F391-4CCE-898C-D0A937103D69}"/>
    <hyperlink ref="N16" r:id="rId3" xr:uid="{BA2D014C-C0C0-4CD9-8F7D-9A2A4D246A97}"/>
  </hyperlinks>
  <pageMargins left="0.47" right="0.34" top="0.28999999999999998" bottom="0.17" header="0.26" footer="0.17"/>
  <pageSetup scale="90" orientation="landscape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insertPumpTest">
                <anchor moveWithCells="1" sizeWithCells="1">
                  <from>
                    <xdr:col>11</xdr:col>
                    <xdr:colOff>171450</xdr:colOff>
                    <xdr:row>20</xdr:row>
                    <xdr:rowOff>9525</xdr:rowOff>
                  </from>
                  <to>
                    <xdr:col>13</xdr:col>
                    <xdr:colOff>752475</xdr:colOff>
                    <xdr:row>22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8" name="Button 2">
              <controlPr defaultSize="0" print="0" autoFill="0" autoPict="0" macro="[0]!getPumpCurves">
                <anchor moveWithCells="1" sizeWithCells="1">
                  <from>
                    <xdr:col>16</xdr:col>
                    <xdr:colOff>190500</xdr:colOff>
                    <xdr:row>2</xdr:row>
                    <xdr:rowOff>0</xdr:rowOff>
                  </from>
                  <to>
                    <xdr:col>18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8</vt:i4>
      </vt:variant>
    </vt:vector>
  </HeadingPairs>
  <TitlesOfParts>
    <vt:vector size="9" baseType="lpstr">
      <vt:lpstr>PAUTestEntry</vt:lpstr>
      <vt:lpstr>localhost</vt:lpstr>
      <vt:lpstr>PAUTestEntry!Print_Area</vt:lpstr>
      <vt:lpstr>PAUTestEntry!pumpModel</vt:lpstr>
      <vt:lpstr>PAUTestEntry!pumpNumber</vt:lpstr>
      <vt:lpstr>PAUTestEntry!pumpSerial</vt:lpstr>
      <vt:lpstr>serverURL</vt:lpstr>
      <vt:lpstr>PAUTestEntry!stationNumber</vt:lpstr>
      <vt:lpstr>PAUTestEntry!testDate</vt:lpstr>
    </vt:vector>
  </TitlesOfParts>
  <Company>City of Mesa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CTHOMPS</dc:creator>
  <cp:lastModifiedBy>Preston Taylor</cp:lastModifiedBy>
  <cp:lastPrinted>2013-12-17T15:13:17Z</cp:lastPrinted>
  <dcterms:created xsi:type="dcterms:W3CDTF">2009-12-21T22:14:30Z</dcterms:created>
  <dcterms:modified xsi:type="dcterms:W3CDTF">2018-07-19T03:37:16Z</dcterms:modified>
</cp:coreProperties>
</file>