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10910C5C-A803-43F6-8A70-2AE78FB5CDC1}" xr6:coauthVersionLast="33" xr6:coauthVersionMax="33" xr10:uidLastSave="{00000000-0000-0000-0000-000000000000}"/>
  <bookViews>
    <workbookView xWindow="0" yWindow="0" windowWidth="28800" windowHeight="13770" tabRatio="926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serverURL">PAUTestEntry!$N$16</definedName>
  </definedNames>
  <calcPr calcId="179017"/>
</workbook>
</file>

<file path=xl/calcChain.xml><?xml version="1.0" encoding="utf-8"?>
<calcChain xmlns="http://schemas.openxmlformats.org/spreadsheetml/2006/main">
  <c r="N3" i="36" l="1"/>
  <c r="E18" i="36" l="1"/>
  <c r="H36" i="36" l="1"/>
  <c r="E36" i="36"/>
  <c r="K38" i="36" l="1"/>
  <c r="J38" i="36"/>
  <c r="I38" i="36"/>
  <c r="H38" i="36"/>
  <c r="G38" i="36"/>
  <c r="F38" i="36"/>
  <c r="E38" i="36"/>
  <c r="D38" i="36"/>
  <c r="C38" i="36"/>
  <c r="B38" i="36"/>
  <c r="K37" i="36"/>
  <c r="J37" i="36"/>
  <c r="I37" i="36"/>
  <c r="H37" i="36"/>
  <c r="G37" i="36"/>
  <c r="F37" i="36"/>
  <c r="E37" i="36"/>
  <c r="D37" i="36"/>
  <c r="C37" i="36"/>
  <c r="B37" i="36"/>
  <c r="K36" i="36"/>
  <c r="J36" i="36"/>
  <c r="I36" i="36"/>
  <c r="G36" i="36"/>
  <c r="F36" i="36"/>
  <c r="D36" i="36"/>
  <c r="C36" i="36"/>
  <c r="B36" i="36"/>
  <c r="A36" i="36"/>
  <c r="K35" i="36"/>
  <c r="J35" i="36"/>
  <c r="I35" i="36"/>
  <c r="I33" i="36" s="1"/>
  <c r="I39" i="36" s="1"/>
  <c r="H35" i="36"/>
  <c r="G35" i="36"/>
  <c r="G33" i="36" s="1"/>
  <c r="G39" i="36" s="1"/>
  <c r="F35" i="36"/>
  <c r="F33" i="36" s="1"/>
  <c r="E35" i="36"/>
  <c r="D35" i="36"/>
  <c r="C35" i="36"/>
  <c r="B35" i="36"/>
  <c r="A35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C33" i="36" l="1"/>
  <c r="C39" i="36" s="1"/>
  <c r="K33" i="36"/>
  <c r="K39" i="36" s="1"/>
  <c r="P12" i="36" s="1"/>
  <c r="E33" i="36"/>
  <c r="E39" i="36" s="1"/>
  <c r="O9" i="36"/>
  <c r="O6" i="36"/>
  <c r="O10" i="36"/>
  <c r="O5" i="36"/>
  <c r="O12" i="36"/>
  <c r="B33" i="36"/>
  <c r="J33" i="36"/>
  <c r="J39" i="36" s="1"/>
  <c r="P11" i="36" s="1"/>
  <c r="D33" i="36"/>
  <c r="D39" i="36" s="1"/>
  <c r="P5" i="36" s="1"/>
  <c r="H33" i="36"/>
  <c r="H34" i="36" s="1"/>
  <c r="I34" i="36"/>
  <c r="E34" i="36"/>
  <c r="F39" i="36"/>
  <c r="P7" i="36" s="1"/>
  <c r="F34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G34" i="36"/>
  <c r="B39" i="36" l="1"/>
  <c r="P3" i="36" s="1"/>
  <c r="D34" i="36"/>
  <c r="K34" i="36"/>
  <c r="C34" i="36"/>
  <c r="B34" i="36"/>
  <c r="H39" i="36"/>
  <c r="P9" i="36" s="1"/>
  <c r="J34" i="36"/>
</calcChain>
</file>

<file path=xl/sharedStrings.xml><?xml version="1.0" encoding="utf-8"?>
<sst xmlns="http://schemas.openxmlformats.org/spreadsheetml/2006/main" count="81" uniqueCount="74">
  <si>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</si>
  <si>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</si>
  <si>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</si>
  <si>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</si>
  <si>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</si>
  <si>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</si>
  <si>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</si>
  <si>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</si>
  <si>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</si>
  <si>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</si>
  <si>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</si>
  <si>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</si>
  <si>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</si>
  <si>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</si>
  <si>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</si>
  <si>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</si>
  <si>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</si>
  <si>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</si>
  <si>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</si>
  <si>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</si>
  <si>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</si>
  <si>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</si>
  <si>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</si>
  <si>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</si>
  <si>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</si>
  <si>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</si>
  <si>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</si>
  <si>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</si>
  <si>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</si>
  <si>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</si>
  <si>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</si>
  <si>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</si>
  <si>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</si>
  <si>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</si>
  <si>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</si>
  <si>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</si>
  <si>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</si>
  <si>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</si>
  <si>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</si>
  <si>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#1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</si>
  <si>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</si>
  <si>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</si>
  <si>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</si>
  <si>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</si>
  <si>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</si>
  <si>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</si>
  <si>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</si>
  <si>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</si>
  <si>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</si>
  <si>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</si>
  <si>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</si>
  <si>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</si>
  <si>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</si>
  <si>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</si>
  <si>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</si>
  <si>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</si>
  <si>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</si>
  <si>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</si>
  <si>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</si>
  <si>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</si>
  <si>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</si>
  <si>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</si>
  <si>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</si>
  <si>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</si>
  <si>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</si>
  <si>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</si>
  <si>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</si>
  <si>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No. of Stages:</t>
  </si>
  <si>
    <t>Impeller Trim:</t>
  </si>
  <si>
    <t>https://pump-assessment-utility.herokuapp.com/dbInsertPumpTest</t>
  </si>
  <si>
    <t>http://localhost:3000/InsertPumpTest</t>
  </si>
  <si>
    <t>local</t>
  </si>
  <si>
    <t>heroku</t>
  </si>
  <si>
    <t>{"command":"SELECT","rowCount":4,"oid":null,"rows":[{"id":1,"pump_model_id":1,"pump_station_id":1,"pump_number":4,"serial_number":"78639-9-1","install_date":"2018-06-05T06:00:00.000Z","test_curve":null,"is_active":true},{"id":2,"pump_model_id":1,"pump_station_id":1,"pump_number":5,"serial_number":"78639-9-2","install_date":"2018-01-01T07:00:00.000Z","test_curve":null,"is_active":true},{"id":3,"pump_model_id":2,"pump_station_id":2,"pump_number":1,"serial_number":"78639-1-1","install_date":"2018-01-01T07:00:00.000Z","test_curve":null,"is_active":true},{"id":4,"pump_model_id":2,"pump_station_id":2,"pump_number":1,"serial_number":"78639-1-1","install_date":"2018-01-01T07:00:00.000Z","test_curve":null,"is_active":true}],"fields":[{"name":"id","tableID":19269,"columnID":1,"dataTypeID":23,"dataTypeSize":4,"dataTypeModifier":-1,"format":"text"},{"name":"pump_model_id","tableID":19269,"columnID":2,"dataTypeID":23,"dataTypeSize":4,"dataTypeModifier":-1,"format":"text"},{"name":"pump_station_id","tableID":19269,"columnID":3,"dataTypeID":23,"dataTypeSize":4,"dataTypeModifier":-1,"format":"text"},{"name":"pump_number","tableID":19269,"columnID":4,"dataTypeID":23,"dataTypeSize":4,"dataTypeModifier":-1,"format":"text"},{"name":"serial_number","tableID":19269,"columnID":5,"dataTypeID":1043,"dataTypeSize":-1,"dataTypeModifier":24,"format":"text"},{"name":"install_date","tableID":19269,"columnID":6,"dataTypeID":1082,"dataTypeSize":4,"dataTypeModifier":-1,"format":"text"},{"name":"test_curve","tableID":19269,"columnID":7,"dataTypeID":17,"dataTypeSize":-1,"dataTypeModifier":-1,"format":"text"},{"name":"is_active","tableID":19269,"columnID":8,"dataTypeID":16,"dataTypeSize":1,"dataTypeModifier":-1,"format":"text"}],"_parsers":[null,null,null,null,null,null,null,null],"RowCtor":null,"rowAsArray":fals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</si>
</sst>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17"/>
      <name val="Calibri"/>
      <family val="2"/>
    </font>
    <font>
      <sz val="11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3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86872DC-0628-43C5-A2A2-913F0C1AC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localhost:3000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Normal="100" workbookViewId="0">
      <selection activeCell="O20" sqref="O20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79" t="s">
        <v>61</v>
      </c>
      <c r="C1" s="80" t="s">
        <v>39</v>
      </c>
      <c r="D1" s="4"/>
      <c r="E1" s="4"/>
      <c r="G1" s="4"/>
      <c r="H1" s="76" t="s">
        <v>11</v>
      </c>
      <c r="I1" s="77"/>
      <c r="J1" s="77"/>
      <c r="K1" s="78"/>
      <c r="M1" s="76" t="str">
        <f>B18&amp;" "&amp;B19&amp;" Transposed for Model Use"</f>
        <v>Test Pump Curve  Transposed for Model Use</v>
      </c>
      <c r="N1" s="77"/>
      <c r="O1" s="77"/>
      <c r="P1" s="78"/>
    </row>
    <row r="2" spans="1:19" ht="16.5" thickBot="1" x14ac:dyDescent="0.3">
      <c r="A2" s="6"/>
      <c r="B2" s="14"/>
      <c r="D2" s="8" t="s">
        <v>17</v>
      </c>
      <c r="E2" s="13" t="s">
        <v>66</v>
      </c>
      <c r="G2" s="4"/>
      <c r="H2" s="39" t="s">
        <v>9</v>
      </c>
      <c r="I2" s="10" t="s">
        <v>23</v>
      </c>
      <c r="J2" s="2" t="s">
        <v>10</v>
      </c>
      <c r="K2" s="40" t="s">
        <v>50</v>
      </c>
      <c r="M2" s="45" t="s">
        <v>52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68" t="s">
        <v>13</v>
      </c>
      <c r="B3" s="69"/>
      <c r="D3" s="9" t="s">
        <v>19</v>
      </c>
      <c r="E3" s="66" t="s">
        <v>59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>VLOOKUP(N$2,$A$20:$K$39,1+$M3,FALSE)</f>
        <v>313.18280000000004</v>
      </c>
      <c r="O3" s="32">
        <f>VLOOKUP(O$2,$A$20:$K$39,1+$M3,FALSE)</f>
        <v>0</v>
      </c>
      <c r="P3" s="48">
        <f>VLOOKUP(P$2,$A$20:$K$39,1+$M3,FALSE)</f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63</v>
      </c>
      <c r="E4" s="65" t="s">
        <v>64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>VLOOKUP(N$2,$A$20:$K$39,1+$M4,FALSE)</f>
        <v/>
      </c>
      <c r="O4" s="32">
        <f>VLOOKUP(O$2,$A$20:$K$39,1+$M4,FALSE)</f>
        <v>0</v>
      </c>
      <c r="P4" s="48" t="str">
        <f>VLOOKUP(P$2,$A$20:$K$39,1+$M4,FALSE)</f>
        <v/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65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>VLOOKUP(N$2,$A$20:$K$39,1+$M5,FALSE)</f>
        <v/>
      </c>
      <c r="O5" s="32">
        <f>VLOOKUP(O$2,$A$20:$K$39,1+$M5,FALSE)</f>
        <v>0</v>
      </c>
      <c r="P5" s="48" t="str">
        <f>VLOOKUP(P$2,$A$20:$K$39,1+$M5,FALSE)</f>
        <v/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>VLOOKUP(N$2,$A$20:$K$39,1+$M6,FALSE)</f>
        <v/>
      </c>
      <c r="O6" s="32">
        <f>VLOOKUP(O$2,$A$20:$K$39,1+$M6,FALSE)</f>
        <v>0</v>
      </c>
      <c r="P6" s="48" t="str">
        <f>VLOOKUP(P$2,$A$20:$K$39,1+$M6,FALSE)</f>
        <v/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>VLOOKUP(N$2,$A$20:$K$39,1+$M7,FALSE)</f>
        <v/>
      </c>
      <c r="O7" s="32">
        <f>VLOOKUP(O$2,$A$20:$K$39,1+$M7,FALSE)</f>
        <v>0</v>
      </c>
      <c r="P7" s="48" t="str">
        <f>VLOOKUP(P$2,$A$20:$K$39,1+$M7,FALSE)</f>
        <v/>
      </c>
      <c r="Q7" s="59"/>
    </row>
    <row r="8" spans="1:19" s="15" customFormat="1" ht="15" customHeight="1" x14ac:dyDescent="0.25">
      <c r="A8" s="68" t="s">
        <v>56</v>
      </c>
      <c r="B8" s="69"/>
      <c r="D8" s="9" t="s">
        <v>22</v>
      </c>
      <c r="E8" s="36" t="s">
        <v>65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>VLOOKUP(N$2,$A$20:$K$39,1+$M8,FALSE)</f>
        <v/>
      </c>
      <c r="O8" s="32">
        <f>VLOOKUP(O$2,$A$20:$K$39,1+$M8,FALSE)</f>
        <v>0</v>
      </c>
      <c r="P8" s="48" t="str">
        <f>VLOOKUP(P$2,$A$20:$K$39,1+$M8,FALSE)</f>
        <v/>
      </c>
      <c r="Q8"/>
      <c r="R8"/>
    </row>
    <row r="9" spans="1:19" x14ac:dyDescent="0.25">
      <c r="A9" s="53" t="s">
        <v>46</v>
      </c>
      <c r="B9" s="57">
        <v>1473</v>
      </c>
      <c r="D9" s="8" t="s">
        <v>40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>VLOOKUP(N$2,$A$20:$K$39,1+$M9,FALSE)</f>
        <v/>
      </c>
      <c r="O9" s="32">
        <f>VLOOKUP(O$2,$A$20:$K$39,1+$M9,FALSE)</f>
        <v>0</v>
      </c>
      <c r="P9" s="48" t="str">
        <f>VLOOKUP(P$2,$A$20:$K$39,1+$M9,FALSE)</f>
        <v/>
      </c>
    </row>
    <row r="10" spans="1:19" x14ac:dyDescent="0.25">
      <c r="A10" s="55" t="s">
        <v>44</v>
      </c>
      <c r="B10" s="57">
        <v>1444.5</v>
      </c>
      <c r="C10" s="21"/>
      <c r="D10" s="8" t="s">
        <v>57</v>
      </c>
      <c r="E10" s="13">
        <v>0.8</v>
      </c>
      <c r="G10">
        <v>8</v>
      </c>
      <c r="H10" s="11">
        <v>117.22</v>
      </c>
      <c r="I10" s="30">
        <f t="shared" ref="I10:I12" si="1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>VLOOKUP(N$2,$A$20:$K$39,1+$M10,FALSE)</f>
        <v/>
      </c>
      <c r="O10" s="32">
        <f>VLOOKUP(O$2,$A$20:$K$39,1+$M10,FALSE)</f>
        <v>0</v>
      </c>
      <c r="P10" s="48" t="str">
        <f>VLOOKUP(P$2,$A$20:$K$39,1+$M10,FALSE)</f>
        <v/>
      </c>
    </row>
    <row r="11" spans="1:19" x14ac:dyDescent="0.25">
      <c r="A11" s="55" t="s">
        <v>47</v>
      </c>
      <c r="B11" s="54" t="s">
        <v>49</v>
      </c>
      <c r="D11" s="8" t="s">
        <v>58</v>
      </c>
      <c r="E11" s="13">
        <v>0.9</v>
      </c>
      <c r="G11">
        <v>9</v>
      </c>
      <c r="H11" s="11">
        <v>91.43</v>
      </c>
      <c r="I11" s="30">
        <f t="shared" si="1"/>
        <v>10.721476800000001</v>
      </c>
      <c r="J11" s="12">
        <v>7445.47</v>
      </c>
      <c r="K11" s="41">
        <v>0.79490000000000005</v>
      </c>
      <c r="M11" s="47">
        <v>9</v>
      </c>
      <c r="N11" s="37" t="str">
        <f>VLOOKUP(N$2,$A$20:$K$39,1+$M11,FALSE)</f>
        <v/>
      </c>
      <c r="O11" s="32">
        <f>VLOOKUP(O$2,$A$20:$K$39,1+$M11,FALSE)</f>
        <v>0</v>
      </c>
      <c r="P11" s="48" t="str">
        <f>VLOOKUP(P$2,$A$20:$K$39,1+$M11,FALSE)</f>
        <v/>
      </c>
    </row>
    <row r="12" spans="1:19" ht="15.75" thickBot="1" x14ac:dyDescent="0.3">
      <c r="A12" s="56" t="s">
        <v>32</v>
      </c>
      <c r="B12" s="35" t="s">
        <v>62</v>
      </c>
      <c r="D12" s="58" t="s">
        <v>67</v>
      </c>
      <c r="E12" s="13"/>
      <c r="G12">
        <v>10</v>
      </c>
      <c r="H12" s="42">
        <v>56.06</v>
      </c>
      <c r="I12" s="30">
        <f t="shared" si="1"/>
        <v>12.5996688</v>
      </c>
      <c r="J12" s="43">
        <v>8749.77</v>
      </c>
      <c r="K12" s="44">
        <v>0.61519999999999997</v>
      </c>
      <c r="M12" s="49">
        <v>10</v>
      </c>
      <c r="N12" s="50" t="str">
        <f>VLOOKUP(N$2,$A$20:$K$39,1+$M12,FALSE)</f>
        <v/>
      </c>
      <c r="O12" s="51">
        <f>VLOOKUP(O$2,$A$20:$K$39,1+$M12,FALSE)</f>
        <v>0</v>
      </c>
      <c r="P12" s="52" t="str">
        <f>VLOOKUP(P$2,$A$20:$K$39,1+$M12,FALSE)</f>
        <v/>
      </c>
    </row>
    <row r="13" spans="1:19" x14ac:dyDescent="0.25">
      <c r="C13" s="21"/>
      <c r="D13" s="58" t="s">
        <v>68</v>
      </c>
      <c r="E13" s="13"/>
      <c r="G13" s="21"/>
    </row>
    <row r="16" spans="1:19" x14ac:dyDescent="0.25">
      <c r="C16" s="21"/>
      <c r="D16" s="70" t="s">
        <v>60</v>
      </c>
      <c r="E16" s="71"/>
      <c r="G16" s="21"/>
      <c r="J16" s="38" t="s">
        <v>53</v>
      </c>
      <c r="K16" s="33"/>
      <c r="N16" s="75" t="s">
        <v>69</v>
      </c>
      <c r="O16" s="75"/>
      <c r="P16" s="75"/>
      <c r="Q16" s="75"/>
      <c r="R16" s="67" t="s">
        <v>72</v>
      </c>
      <c r="S16" s="67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54</v>
      </c>
      <c r="K17" s="28"/>
      <c r="N17" s="75" t="s">
        <v>70</v>
      </c>
      <c r="O17" s="75"/>
      <c r="P17" s="75"/>
      <c r="Q17" s="75"/>
      <c r="R17" s="67" t="s">
        <v>71</v>
      </c>
      <c r="S17" s="67"/>
    </row>
    <row r="18" spans="1:26" ht="15.75" x14ac:dyDescent="0.25">
      <c r="A18" s="1"/>
      <c r="B18" s="27" t="s">
        <v>51</v>
      </c>
      <c r="D18" s="10" t="s">
        <v>15</v>
      </c>
      <c r="E18" s="28">
        <f>E17*1000000/1440</f>
        <v>6125</v>
      </c>
      <c r="J18" s="38" t="s">
        <v>55</v>
      </c>
      <c r="K18" s="17"/>
    </row>
    <row r="19" spans="1:26" x14ac:dyDescent="0.25">
      <c r="A19" s="16" t="s">
        <v>1</v>
      </c>
      <c r="B19" s="60"/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42</v>
      </c>
      <c r="K20" s="2" t="s">
        <v>43</v>
      </c>
      <c r="L20" s="7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41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25">
      <c r="A24" s="3" t="s">
        <v>45</v>
      </c>
      <c r="B24" s="64">
        <v>133.21766233766235</v>
      </c>
      <c r="C24" s="61"/>
      <c r="D24" s="61"/>
      <c r="E24" s="61"/>
      <c r="F24" s="61"/>
      <c r="G24" s="61"/>
      <c r="H24" s="61"/>
      <c r="I24" s="61"/>
      <c r="J24" s="61"/>
      <c r="K24" s="61"/>
      <c r="O24" s="75" t="s">
        <v>70</v>
      </c>
      <c r="P24" s="75"/>
    </row>
    <row r="25" spans="1:26" x14ac:dyDescent="0.25">
      <c r="A25" s="3" t="s">
        <v>48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74" t="s">
        <v>73</v>
      </c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spans="1:26" x14ac:dyDescent="0.25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spans="1:26" x14ac:dyDescent="0.25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spans="1:26" x14ac:dyDescent="0.25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 x14ac:dyDescent="0.25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spans="1:26" x14ac:dyDescent="0.25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spans="1:26" x14ac:dyDescent="0.25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spans="1:26" x14ac:dyDescent="0.25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spans="1:26" x14ac:dyDescent="0.25">
      <c r="A33" s="3" t="s">
        <v>4</v>
      </c>
      <c r="B33" s="18">
        <f t="shared" ref="B33:K33" si="2">IF(ISERR((B36*B35*$E$10*1.732)/1000)=FALSE,(B36*B35*$E$10*1.732)/1000,"")</f>
        <v>332.72412799999995</v>
      </c>
      <c r="C33" s="18" t="str">
        <f t="shared" si="2"/>
        <v/>
      </c>
      <c r="D33" s="18" t="str">
        <f t="shared" si="2"/>
        <v/>
      </c>
      <c r="E33" s="18" t="str">
        <f t="shared" si="2"/>
        <v/>
      </c>
      <c r="F33" s="18" t="str">
        <f t="shared" si="2"/>
        <v/>
      </c>
      <c r="G33" s="18" t="str">
        <f t="shared" si="2"/>
        <v/>
      </c>
      <c r="H33" s="18" t="str">
        <f t="shared" si="2"/>
        <v/>
      </c>
      <c r="I33" s="18" t="str">
        <f t="shared" si="2"/>
        <v/>
      </c>
      <c r="J33" s="18" t="str">
        <f t="shared" si="2"/>
        <v/>
      </c>
      <c r="K33" s="18" t="str">
        <f t="shared" si="2"/>
        <v/>
      </c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spans="1:26" x14ac:dyDescent="0.25">
      <c r="A34" s="3" t="s">
        <v>7</v>
      </c>
      <c r="B34" s="19">
        <f>IF(B33&lt;&gt;"",1.341*B33,"")</f>
        <v>446.18305564799994</v>
      </c>
      <c r="C34" s="19" t="str">
        <f t="shared" ref="C34:K34" si="3">IF(C33&lt;&gt;"",1.341*C33,"")</f>
        <v/>
      </c>
      <c r="D34" s="19" t="str">
        <f t="shared" si="3"/>
        <v/>
      </c>
      <c r="E34" s="19" t="str">
        <f t="shared" si="3"/>
        <v/>
      </c>
      <c r="F34" s="19" t="str">
        <f t="shared" si="3"/>
        <v/>
      </c>
      <c r="G34" s="19" t="str">
        <f t="shared" si="3"/>
        <v/>
      </c>
      <c r="H34" s="19" t="str">
        <f t="shared" si="3"/>
        <v/>
      </c>
      <c r="I34" s="19" t="str">
        <f t="shared" si="3"/>
        <v/>
      </c>
      <c r="J34" s="19" t="str">
        <f t="shared" si="3"/>
        <v/>
      </c>
      <c r="K34" s="19" t="str">
        <f t="shared" si="3"/>
        <v/>
      </c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spans="1:26" x14ac:dyDescent="0.25">
      <c r="A35" s="3" t="str">
        <f>"Ave. Amps "  &amp; B19</f>
        <v xml:space="preserve">Ave. Amps </v>
      </c>
      <c r="B35" s="19">
        <f>IF(B27&lt;&gt;"",AVERAGE(B27:B29),"")</f>
        <v>59</v>
      </c>
      <c r="C35" s="19" t="str">
        <f t="shared" ref="C35:K35" si="4">IF(C27&lt;&gt;"",AVERAGE(C27:C29),"")</f>
        <v/>
      </c>
      <c r="D35" s="19" t="str">
        <f t="shared" si="4"/>
        <v/>
      </c>
      <c r="E35" s="19" t="str">
        <f t="shared" si="4"/>
        <v/>
      </c>
      <c r="F35" s="19" t="str">
        <f t="shared" si="4"/>
        <v/>
      </c>
      <c r="G35" s="19" t="str">
        <f t="shared" si="4"/>
        <v/>
      </c>
      <c r="H35" s="19" t="str">
        <f t="shared" si="4"/>
        <v/>
      </c>
      <c r="I35" s="19" t="str">
        <f t="shared" si="4"/>
        <v/>
      </c>
      <c r="J35" s="19" t="str">
        <f t="shared" si="4"/>
        <v/>
      </c>
      <c r="K35" s="19" t="str">
        <f t="shared" si="4"/>
        <v/>
      </c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spans="1:26" x14ac:dyDescent="0.25">
      <c r="A36" s="24" t="str">
        <f>"Ave. Volts "&amp; B19</f>
        <v xml:space="preserve">Ave. Volts </v>
      </c>
      <c r="B36" s="23">
        <f>IF(ISERR(AVERAGE(B30:B32))=FALSE,AVERAGE(B30:B32),"")</f>
        <v>4070</v>
      </c>
      <c r="C36" s="23" t="str">
        <f t="shared" ref="C36:K36" si="5">IF(ISERR(AVERAGE(C30:C32))=FALSE,AVERAGE(C30:C32),"")</f>
        <v/>
      </c>
      <c r="D36" s="23" t="str">
        <f t="shared" si="5"/>
        <v/>
      </c>
      <c r="E36" s="23" t="str">
        <f>IF(ISERR(AVERAGE(E30:E32))=FALSE,AVERAGE(E30:E32),"")</f>
        <v/>
      </c>
      <c r="F36" s="23" t="str">
        <f t="shared" si="5"/>
        <v/>
      </c>
      <c r="G36" s="23" t="str">
        <f t="shared" si="5"/>
        <v/>
      </c>
      <c r="H36" s="23" t="str">
        <f>IF(ISERR(AVERAGE(H30:H32))=FALSE,AVERAGE(H30:H32),"")</f>
        <v/>
      </c>
      <c r="I36" s="23" t="str">
        <f t="shared" si="5"/>
        <v/>
      </c>
      <c r="J36" s="23" t="str">
        <f t="shared" si="5"/>
        <v/>
      </c>
      <c r="K36" s="23" t="str">
        <f t="shared" si="5"/>
        <v/>
      </c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spans="1:26" x14ac:dyDescent="0.25">
      <c r="A37" s="3" t="s">
        <v>5</v>
      </c>
      <c r="B37" s="18">
        <f>IF(B24="","",IF(LEFT($A$23,5)="Error","Suction Type?",IF(LEFT($A$23,5)="Reser",(B24*2.31+$B$9)-(B23+$B$10),IF(LEFT($A$23,5)="Sucti",(B24*2.31+$B$9)-((B23*2.31)+$B$11)))))</f>
        <v>313.18280000000004</v>
      </c>
      <c r="C37" s="18" t="str">
        <f>IF(C24="","",IF(LEFT($A$23,5)="Error","Suction Type?",IF(LEFT($A$23,5)="Reser",(C24*2.31+$B$9)-(C23+$B$10),IF(LEFT($A$23,5)="Sucti",(C24*2.31+$B$9)-((C23*2.31)+$B$11)))))</f>
        <v/>
      </c>
      <c r="D37" s="18" t="str">
        <f>IF(D24="","",IF(LEFT($A$23,5)="Error","Suction Type?",IF(LEFT($A$23,5)="Reser",(D24*2.31+$B$9)-(D23+$B$10),IF(LEFT($A$23,5)="Sucti",(D24*2.31+$B$9)-((D23*2.31)+$B$11)))))</f>
        <v/>
      </c>
      <c r="E37" s="18" t="str">
        <f>IF(E24="","",IF(LEFT($A$23,5)="Error","Suction Type?",IF(LEFT($A$23,5)="Reser",(E24*2.31+$B$9)-(E23+$B$10),IF(LEFT($A$23,5)="Sucti",(E24*2.31+$B$9)-((E23*2.31)+$B$11)))))</f>
        <v/>
      </c>
      <c r="F37" s="18" t="str">
        <f>IF(F24="","",IF(LEFT($A$23,5)="Error","Suction Type?",IF(LEFT($A$23,5)="Reser",(F24*2.31+$B$9)-(F23+$B$10),IF(LEFT($A$23,5)="Sucti",(F24*2.31+$B$9)-((F23*2.31)+$B$11)))))</f>
        <v/>
      </c>
      <c r="G37" s="18" t="str">
        <f>IF(G24="","",IF(LEFT($A$23,5)="Error","Suction Type?",IF(LEFT($A$23,5)="Reser",(G24*2.31+$B$9)-(G23+$B$10),IF(LEFT($A$23,5)="Sucti",(G24*2.31+$B$9)-((G23*2.31)+$B$11)))))</f>
        <v/>
      </c>
      <c r="H37" s="18" t="str">
        <f>IF(H24="","",IF(LEFT($A$23,5)="Error","Suction Type?",IF(LEFT($A$23,5)="Reser",(H24*2.31+$B$9)-(H23+$B$10),IF(LEFT($A$23,5)="Sucti",(H24*2.31+$B$9)-((H23*2.31)+$B$11)))))</f>
        <v/>
      </c>
      <c r="I37" s="18" t="str">
        <f>IF(I24="","",IF(LEFT($A$23,5)="Error","Suction Type?",IF(LEFT($A$23,5)="Reser",(I24*2.31+$B$9)-(I23+$B$10),IF(LEFT($A$23,5)="Sucti",(I24*2.31+$B$9)-((I23*2.31)+$B$11)))))</f>
        <v/>
      </c>
      <c r="J37" s="18" t="str">
        <f>IF(J24="","",IF(LEFT($A$23,5)="Error","Suction Type?",IF(LEFT($A$23,5)="Reser",(J24*2.31+$B$9)-(J23+$B$10),IF(LEFT($A$23,5)="Sucti",(J24*2.31+$B$9)-((J23*2.31)+$B$11)))))</f>
        <v/>
      </c>
      <c r="K37" s="18" t="str">
        <f>IF(K24="","",IF(LEFT($A$23,5)="Error","Suction Type?",IF(LEFT($A$23,5)="Reser",(K24*2.31+$B$9)-(K23+$B$10),IF(LEFT($A$23,5)="Sucti",(K24*2.31+$B$9)-((K23*2.31)+$B$11)))))</f>
        <v/>
      </c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6" x14ac:dyDescent="0.25">
      <c r="A38" s="3" t="s">
        <v>6</v>
      </c>
      <c r="B38" s="19">
        <f t="shared" ref="B38:K38" si="6">IF(B26="","",B26*1000000/1440)</f>
        <v>0</v>
      </c>
      <c r="C38" s="19" t="str">
        <f t="shared" si="6"/>
        <v/>
      </c>
      <c r="D38" s="19" t="str">
        <f t="shared" si="6"/>
        <v/>
      </c>
      <c r="E38" s="19" t="str">
        <f t="shared" si="6"/>
        <v/>
      </c>
      <c r="F38" s="19" t="str">
        <f t="shared" si="6"/>
        <v/>
      </c>
      <c r="G38" s="19" t="str">
        <f t="shared" si="6"/>
        <v/>
      </c>
      <c r="H38" s="19" t="str">
        <f t="shared" si="6"/>
        <v/>
      </c>
      <c r="I38" s="19" t="str">
        <f t="shared" si="6"/>
        <v/>
      </c>
      <c r="J38" s="19" t="str">
        <f t="shared" si="6"/>
        <v/>
      </c>
      <c r="K38" s="19" t="str">
        <f t="shared" si="6"/>
        <v/>
      </c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6" x14ac:dyDescent="0.25">
      <c r="A39" s="3" t="s">
        <v>8</v>
      </c>
      <c r="B39" s="20">
        <f>IF(B33&lt;&gt;"",B37*B38/3960/B34,"")</f>
        <v>0</v>
      </c>
      <c r="C39" s="20" t="str">
        <f t="shared" ref="C39:K39" si="7">IF(C33&lt;&gt;"",C37*C38/3960/C34,"")</f>
        <v/>
      </c>
      <c r="D39" s="20" t="str">
        <f t="shared" si="7"/>
        <v/>
      </c>
      <c r="E39" s="20" t="str">
        <f t="shared" si="7"/>
        <v/>
      </c>
      <c r="F39" s="20" t="str">
        <f t="shared" si="7"/>
        <v/>
      </c>
      <c r="G39" s="20" t="str">
        <f t="shared" si="7"/>
        <v/>
      </c>
      <c r="H39" s="20" t="str">
        <f t="shared" si="7"/>
        <v/>
      </c>
      <c r="I39" s="20" t="str">
        <f t="shared" si="7"/>
        <v/>
      </c>
      <c r="J39" s="20" t="str">
        <f t="shared" si="7"/>
        <v/>
      </c>
      <c r="K39" s="20" t="str">
        <f t="shared" si="7"/>
        <v/>
      </c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 x14ac:dyDescent="0.25">
      <c r="B40" s="22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2" spans="1:26" x14ac:dyDescent="0.25">
      <c r="N42" s="73"/>
      <c r="O42" s="73"/>
    </row>
    <row r="43" spans="1:26" x14ac:dyDescent="0.25">
      <c r="N43" s="72"/>
      <c r="O43" s="72"/>
    </row>
    <row r="44" spans="1:26" x14ac:dyDescent="0.25">
      <c r="N44" s="72"/>
      <c r="O44" s="72"/>
    </row>
    <row r="45" spans="1:26" x14ac:dyDescent="0.25">
      <c r="N45" s="72"/>
      <c r="O45" s="72"/>
    </row>
    <row r="46" spans="1:26" x14ac:dyDescent="0.25">
      <c r="N46" s="72"/>
      <c r="O46" s="72"/>
    </row>
    <row r="47" spans="1:26" x14ac:dyDescent="0.25">
      <c r="N47" s="72"/>
      <c r="O47" s="72"/>
    </row>
    <row r="48" spans="1:26" x14ac:dyDescent="0.25">
      <c r="N48" s="72"/>
      <c r="O48" s="72"/>
    </row>
    <row r="49" spans="14:15" x14ac:dyDescent="0.25">
      <c r="N49" s="72"/>
      <c r="O49" s="72"/>
    </row>
    <row r="50" spans="14:15" x14ac:dyDescent="0.25">
      <c r="N50" s="72"/>
      <c r="O50" s="72"/>
    </row>
    <row r="51" spans="14:15" x14ac:dyDescent="0.25">
      <c r="N51" s="72"/>
      <c r="O51" s="72"/>
    </row>
    <row r="52" spans="14:15" x14ac:dyDescent="0.25">
      <c r="N52" s="72"/>
      <c r="O52" s="72"/>
    </row>
  </sheetData>
  <sheetProtection selectLockedCells="1"/>
  <dataConsolidate/>
  <mergeCells count="22">
    <mergeCell ref="O25:Z40"/>
    <mergeCell ref="N17:Q17"/>
    <mergeCell ref="O24:P24"/>
    <mergeCell ref="H1:K1"/>
    <mergeCell ref="M1:P1"/>
    <mergeCell ref="N16:Q16"/>
    <mergeCell ref="N42:O42"/>
    <mergeCell ref="N48:O48"/>
    <mergeCell ref="N49:O49"/>
    <mergeCell ref="N50:O50"/>
    <mergeCell ref="N51:O51"/>
    <mergeCell ref="N52:O52"/>
    <mergeCell ref="N43:O43"/>
    <mergeCell ref="N44:O44"/>
    <mergeCell ref="N45:O45"/>
    <mergeCell ref="N46:O46"/>
    <mergeCell ref="N47:O47"/>
    <mergeCell ref="R16:S16"/>
    <mergeCell ref="R17:S17"/>
    <mergeCell ref="A3:B3"/>
    <mergeCell ref="A8:B8"/>
    <mergeCell ref="D16:E1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  <hyperlink ref="O24" r:id="rId3" xr:uid="{2D73A58E-F391-4CCE-898C-D0A937103D69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akeDbInser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PAUTestEntry</vt:lpstr>
      <vt:lpstr>localhost</vt:lpstr>
      <vt:lpstr>PAUTestEntry!Print_Area</vt:lpstr>
      <vt:lpstr>serverURL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2018-06-21T03:11:20Z</dcterms:modified>
</cp:coreProperties>
</file>