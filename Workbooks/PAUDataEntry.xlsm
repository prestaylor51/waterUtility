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DA0E4955-EFB8-4B30-B9EA-1ABDD56B414D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server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D33" i="36" s="1"/>
  <c r="E36" i="36"/>
  <c r="E33" i="36" s="1"/>
  <c r="F36" i="36"/>
  <c r="F33" i="36" s="1"/>
  <c r="G36" i="36"/>
  <c r="G33" i="36" s="1"/>
  <c r="H36" i="36"/>
  <c r="H33" i="36" s="1"/>
  <c r="I36" i="36"/>
  <c r="I33" i="36" s="1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D39" i="36" l="1"/>
  <c r="D34" i="36"/>
  <c r="C34" i="36"/>
  <c r="C39" i="36"/>
  <c r="J34" i="36"/>
  <c r="J39" i="36"/>
  <c r="B34" i="36"/>
  <c r="B39" i="36"/>
  <c r="I34" i="36"/>
  <c r="I39" i="36"/>
  <c r="E39" i="36"/>
  <c r="E34" i="36"/>
  <c r="K34" i="36"/>
  <c r="K39" i="36"/>
  <c r="H34" i="36"/>
  <c r="H39" i="36"/>
  <c r="G39" i="36"/>
  <c r="G34" i="36"/>
  <c r="F39" i="36"/>
  <c r="F34" i="36"/>
  <c r="E18" i="36"/>
  <c r="A23" i="36" l="1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<sst xmlns="http://schemas.openxmlformats.org/spreadsheetml/2006/main" count="82" uniqueCount="75">
  <si>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</si>
  <si>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</si>
  <si>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</si>
  <si>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</si>
  <si>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</si>
  <si>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</si>
  <si>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</si>
  <si>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</si>
  <si>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</si>
  <si>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</si>
  <si>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</si>
  <si>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</si>
  <si>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</si>
  <si>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</si>
  <si>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</si>
  <si>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</si>
  <si>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</si>
  <si>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</si>
  <si>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</si>
  <si>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</si>
  <si>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</si>
  <si>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</si>
  <si>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</si>
  <si>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</si>
  <si>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</si>
  <si>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</si>
  <si>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</si>
  <si>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</si>
  <si>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</si>
  <si>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</si>
  <si>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</si>
  <si>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</si>
  <si>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</si>
  <si>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</si>
  <si>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</si>
  <si>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</si>
  <si>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</si>
  <si>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</si>
  <si>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</si>
  <si>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</si>
  <si>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</si>
  <si>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</si>
  <si>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</si>
  <si>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</si>
  <si>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</si>
  <si>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</si>
  <si>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</si>
  <si>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</si>
  <si>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</si>
  <si>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</si>
  <si>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</si>
  <si>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</si>
  <si>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</si>
  <si>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</si>
  <si>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</si>
  <si>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</si>
  <si>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</si>
  <si>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</si>
  <si>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</si>
  <si>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</si>
  <si>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</si>
  <si>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</si>
  <si>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</si>
  <si>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</si>
  <si>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</si>
  <si>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No. of Stages:</t>
  </si>
  <si>
    <t>Impeller Trim:</t>
  </si>
  <si>
    <t>http://localhost:3000/InsertPumpTest</t>
  </si>
  <si>
    <t>local</t>
  </si>
  <si>
    <t>heroku</t>
  </si>
  <si>
    <t>2018-2-15</t>
  </si>
  <si>
    <t>Failed Test Inserts</t>
  </si>
  <si>
    <t>22BLK</t>
  </si>
  <si>
    <t>[]</t>
  </si>
  <si>
    <t>https://pump-assessment-utility.herokuapp.com/InsertPumpTest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</si>
</sst>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0" fillId="0" borderId="0" xfId="3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 wrapText="1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pump-assessment-utility.herokuapp.com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://localhost:3000/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="85" zoomScaleNormal="85" workbookViewId="0">
      <selection activeCell="M27" sqref="M27:N27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67" t="s">
        <v>59</v>
      </c>
      <c r="C1" s="68">
        <v>1</v>
      </c>
      <c r="D1" s="4"/>
      <c r="E1" s="4"/>
      <c r="G1" s="4"/>
      <c r="H1" s="80" t="s">
        <v>11</v>
      </c>
      <c r="I1" s="81"/>
      <c r="J1" s="81"/>
      <c r="K1" s="82"/>
      <c r="M1" s="80" t="str">
        <f>B18&amp;" "&amp;B19&amp;" Transposed for Model Use"</f>
        <v>Test Pump Curve 2018-2-15 Transposed for Model Use</v>
      </c>
      <c r="N1" s="81"/>
      <c r="O1" s="81"/>
      <c r="P1" s="82"/>
    </row>
    <row r="2" spans="1:19" ht="16.5" thickBot="1" x14ac:dyDescent="0.3">
      <c r="A2" s="6"/>
      <c r="B2" s="14"/>
      <c r="D2" s="8" t="s">
        <v>17</v>
      </c>
      <c r="E2" s="13" t="s">
        <v>64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72" t="s">
        <v>13</v>
      </c>
      <c r="B3" s="73"/>
      <c r="D3" s="9" t="s">
        <v>19</v>
      </c>
      <c r="E3" s="66" t="s">
        <v>72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61</v>
      </c>
      <c r="E4" s="65" t="s">
        <v>62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63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9" s="15" customFormat="1" ht="15" customHeight="1" x14ac:dyDescent="0.25">
      <c r="A8" s="72" t="s">
        <v>55</v>
      </c>
      <c r="B8" s="73"/>
      <c r="D8" s="9" t="s">
        <v>22</v>
      </c>
      <c r="E8" s="36" t="s">
        <v>63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9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9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9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9" ht="15.75" thickBot="1" x14ac:dyDescent="0.3">
      <c r="A12" s="56" t="s">
        <v>32</v>
      </c>
      <c r="B12" s="35" t="s">
        <v>60</v>
      </c>
      <c r="D12" s="58" t="s">
        <v>65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9" x14ac:dyDescent="0.25">
      <c r="C13" s="21"/>
      <c r="D13" s="58" t="s">
        <v>66</v>
      </c>
      <c r="E13" s="13"/>
      <c r="G13" s="21"/>
    </row>
    <row r="16" spans="1:19" x14ac:dyDescent="0.25">
      <c r="C16" s="21"/>
      <c r="D16" s="74" t="s">
        <v>58</v>
      </c>
      <c r="E16" s="75"/>
      <c r="G16" s="21"/>
      <c r="J16" s="38" t="s">
        <v>52</v>
      </c>
      <c r="K16" s="33"/>
      <c r="N16" s="71" t="s">
        <v>74</v>
      </c>
      <c r="O16" s="70"/>
      <c r="P16" s="70"/>
      <c r="Q16" s="70"/>
      <c r="R16" s="79" t="s">
        <v>69</v>
      </c>
      <c r="S16" s="79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53</v>
      </c>
      <c r="K17" s="28"/>
      <c r="N17" s="76" t="s">
        <v>67</v>
      </c>
      <c r="O17" s="76"/>
      <c r="P17" s="76"/>
      <c r="Q17" s="76"/>
      <c r="R17" s="79" t="s">
        <v>68</v>
      </c>
      <c r="S17" s="79"/>
    </row>
    <row r="18" spans="1:26" ht="15.75" x14ac:dyDescent="0.25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25">
      <c r="A19" s="16" t="s">
        <v>1</v>
      </c>
      <c r="B19" s="60" t="s">
        <v>70</v>
      </c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  <c r="O20" s="71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40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25">
      <c r="A24" s="3" t="s">
        <v>44</v>
      </c>
      <c r="B24" s="64">
        <v>133.21766233766235</v>
      </c>
      <c r="C24" s="61"/>
      <c r="D24" s="61"/>
      <c r="E24" s="61"/>
      <c r="F24" s="61"/>
      <c r="G24" s="61"/>
      <c r="H24" s="61"/>
      <c r="I24" s="61"/>
      <c r="J24" s="61"/>
      <c r="K24" s="61"/>
      <c r="O24" s="76" t="s">
        <v>67</v>
      </c>
      <c r="P24" s="76"/>
      <c r="Q24" s="76"/>
      <c r="R24" s="76"/>
      <c r="S24" s="76"/>
      <c r="T24" s="76"/>
    </row>
    <row r="25" spans="1:26" x14ac:dyDescent="0.25">
      <c r="A25" s="3" t="s">
        <v>47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83" t="s">
        <v>73</v>
      </c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</row>
    <row r="26" spans="1:26" x14ac:dyDescent="0.25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M26" s="79" t="s">
        <v>71</v>
      </c>
      <c r="N26" s="79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</row>
    <row r="27" spans="1:26" x14ac:dyDescent="0.25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M27" s="79"/>
      <c r="N27" s="79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</row>
    <row r="28" spans="1:26" x14ac:dyDescent="0.25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M28" s="69"/>
      <c r="N28" s="69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</row>
    <row r="29" spans="1:26" x14ac:dyDescent="0.25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</row>
    <row r="30" spans="1:26" x14ac:dyDescent="0.25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</row>
    <row r="31" spans="1:26" x14ac:dyDescent="0.25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</row>
    <row r="32" spans="1:26" x14ac:dyDescent="0.25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</row>
    <row r="33" spans="1:26" x14ac:dyDescent="0.25">
      <c r="A33" s="3" t="s">
        <v>4</v>
      </c>
      <c r="B33" s="18">
        <f t="shared" ref="B33:K33" si="3">IF(ISERR((B36*B35*$E$10*1.732)/1000)=FALSE,(B36*B35*$E$10*1.732)/1000,"")</f>
        <v>332.72412799999995</v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</row>
    <row r="34" spans="1:26" x14ac:dyDescent="0.25">
      <c r="A34" s="3" t="s">
        <v>7</v>
      </c>
      <c r="B34" s="19">
        <f>IF(B33&lt;&gt;"",1.341*B33,"")</f>
        <v>446.18305564799994</v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</row>
    <row r="35" spans="1:26" x14ac:dyDescent="0.25">
      <c r="A35" s="3" t="str">
        <f>"Ave. Amps "  &amp; B19</f>
        <v>Ave. Amps 2018-2-15</v>
      </c>
      <c r="B35" s="19">
        <f>IF(B27&lt;&gt;"",AVERAGE(B27:B29),"")</f>
        <v>59</v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</row>
    <row r="36" spans="1:26" x14ac:dyDescent="0.25">
      <c r="A36" s="24" t="str">
        <f>"Ave. Volts "&amp; B19</f>
        <v>Ave. Volts 2018-2-15</v>
      </c>
      <c r="B36" s="23">
        <f>IF(ISERR(AVERAGE(B30:B32))=FALSE,AVERAGE(B30:B32),"")</f>
        <v>4070</v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>IF(ISERR(AVERAGE(E30:E32))=FALSE,AVERAGE(E30:E32),"")</f>
        <v/>
      </c>
      <c r="F36" s="23" t="str">
        <f t="shared" si="6"/>
        <v/>
      </c>
      <c r="G36" s="23" t="str">
        <f t="shared" si="6"/>
        <v/>
      </c>
      <c r="H36" s="23" t="str">
        <f>IF(ISERR(AVERAGE(H30:H32))=FALSE,AVERAGE(H30:H32),"")</f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</row>
    <row r="37" spans="1:26" x14ac:dyDescent="0.25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</row>
    <row r="38" spans="1:26" x14ac:dyDescent="0.25">
      <c r="A38" s="3" t="s">
        <v>6</v>
      </c>
      <c r="B38" s="19">
        <f t="shared" ref="B38:K38" si="8">IF(B26="","",B26*1000000/1440)</f>
        <v>0</v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</row>
    <row r="39" spans="1:26" x14ac:dyDescent="0.25">
      <c r="A39" s="3" t="s">
        <v>8</v>
      </c>
      <c r="B39" s="20">
        <f>IF(B33&lt;&gt;"",B37*B38/3960/B34,"")</f>
        <v>0</v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</row>
    <row r="40" spans="1:26" x14ac:dyDescent="0.25">
      <c r="B40" s="22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</row>
    <row r="42" spans="1:26" x14ac:dyDescent="0.25">
      <c r="N42" s="78"/>
      <c r="O42" s="78"/>
    </row>
    <row r="43" spans="1:26" x14ac:dyDescent="0.25">
      <c r="N43" s="77"/>
      <c r="O43" s="77"/>
    </row>
    <row r="44" spans="1:26" x14ac:dyDescent="0.25">
      <c r="N44" s="77"/>
      <c r="O44" s="77"/>
    </row>
    <row r="45" spans="1:26" x14ac:dyDescent="0.25">
      <c r="N45" s="77"/>
      <c r="O45" s="77"/>
    </row>
    <row r="46" spans="1:26" x14ac:dyDescent="0.25">
      <c r="N46" s="77"/>
      <c r="O46" s="77"/>
    </row>
    <row r="47" spans="1:26" x14ac:dyDescent="0.25">
      <c r="N47" s="77"/>
      <c r="O47" s="77"/>
    </row>
    <row r="48" spans="1:26" x14ac:dyDescent="0.25">
      <c r="N48" s="77"/>
      <c r="O48" s="77"/>
    </row>
    <row r="49" spans="14:15" x14ac:dyDescent="0.25">
      <c r="N49" s="77"/>
      <c r="O49" s="77"/>
    </row>
    <row r="50" spans="14:15" x14ac:dyDescent="0.25">
      <c r="N50" s="77"/>
      <c r="O50" s="77"/>
    </row>
    <row r="51" spans="14:15" x14ac:dyDescent="0.25">
      <c r="N51" s="77"/>
      <c r="O51" s="77"/>
    </row>
    <row r="52" spans="14:15" x14ac:dyDescent="0.25">
      <c r="N52" s="77"/>
      <c r="O52" s="77"/>
    </row>
  </sheetData>
  <sheetProtection selectLockedCells="1"/>
  <dataConsolidate/>
  <mergeCells count="23">
    <mergeCell ref="M27:N27"/>
    <mergeCell ref="H1:K1"/>
    <mergeCell ref="M1:P1"/>
    <mergeCell ref="O25:Z40"/>
    <mergeCell ref="R16:S16"/>
    <mergeCell ref="R17:S17"/>
    <mergeCell ref="O24:T24"/>
    <mergeCell ref="A3:B3"/>
    <mergeCell ref="A8:B8"/>
    <mergeCell ref="D16:E16"/>
    <mergeCell ref="N17:Q17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M26:N26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7" r:id="rId1" xr:uid="{C0D6942D-6DE6-45E4-B452-8DE7B718F21E}"/>
    <hyperlink ref="O24" r:id="rId2" xr:uid="{2D73A58E-F391-4CCE-898C-D0A937103D69}"/>
    <hyperlink ref="N16" r:id="rId3" xr:uid="{BA2D014C-C0C0-4CD9-8F7D-9A2A4D246A97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serverURL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2018-07-04T04:01:27Z</dcterms:modified>
</cp:coreProperties>
</file>