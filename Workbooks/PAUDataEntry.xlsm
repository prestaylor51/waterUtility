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75D7671D-F68F-4516-935E-A08B5B6DBAB4}" xr6:coauthVersionLast="34" xr6:coauthVersionMax="34" xr10:uidLastSave="{00000000-0000-0000-0000-000000000000}"/>
  <bookViews>
    <workbookView xWindow="0" yWindow="0" windowWidth="28800" windowHeight="13770" tabRatio="365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server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C33" i="36" s="1"/>
  <c r="D36" i="36"/>
  <c r="D33" i="36" s="1"/>
  <c r="E36" i="36"/>
  <c r="E33" i="36" s="1"/>
  <c r="F36" i="36"/>
  <c r="F33" i="36" s="1"/>
  <c r="G36" i="36"/>
  <c r="G33" i="36" s="1"/>
  <c r="H36" i="36"/>
  <c r="H33" i="36" s="1"/>
  <c r="I36" i="36"/>
  <c r="I33" i="36" s="1"/>
  <c r="J36" i="36"/>
  <c r="J33" i="36" s="1"/>
  <c r="K36" i="36"/>
  <c r="K33" i="36" s="1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D39" i="36" l="1"/>
  <c r="D34" i="36"/>
  <c r="C34" i="36"/>
  <c r="C39" i="36"/>
  <c r="J34" i="36"/>
  <c r="J39" i="36"/>
  <c r="B34" i="36"/>
  <c r="B39" i="36"/>
  <c r="I34" i="36"/>
  <c r="I39" i="36"/>
  <c r="E39" i="36"/>
  <c r="E34" i="36"/>
  <c r="K34" i="36"/>
  <c r="K39" i="36"/>
  <c r="H34" i="36"/>
  <c r="H39" i="36"/>
  <c r="G39" i="36"/>
  <c r="G34" i="36"/>
  <c r="F39" i="36"/>
  <c r="F34" i="36"/>
  <c r="E18" i="36"/>
  <c r="A23" i="36" l="1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<sst xmlns="http://schemas.openxmlformats.org/spreadsheetml/2006/main" count="82" uniqueCount="75">
  <si>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</si>
  <si>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</si>
  <si>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</si>
  <si>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</si>
  <si>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</si>
  <si>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</si>
  <si>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</si>
  <si>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</si>
  <si>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</si>
  <si>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</si>
  <si>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</si>
  <si>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</si>
  <si>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</si>
  <si>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</si>
  <si>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</si>
  <si>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</si>
  <si>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</si>
  <si>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</si>
  <si>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</si>
  <si>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</si>
  <si>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</si>
  <si>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</si>
  <si>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</si>
  <si>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</si>
  <si>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</si>
  <si>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</si>
  <si>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</si>
  <si>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</si>
  <si>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</si>
  <si>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</si>
  <si>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</si>
  <si>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</si>
  <si>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</si>
  <si>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</si>
  <si>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</si>
  <si>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</si>
  <si>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</si>
  <si>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</si>
  <si>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</si>
  <si>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</si>
  <si>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</si>
  <si>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</si>
  <si>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</si>
  <si>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</si>
  <si>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</si>
  <si>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</si>
  <si>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</si>
  <si>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</si>
  <si>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</si>
  <si>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</si>
  <si>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</si>
  <si>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</si>
  <si>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</si>
  <si>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</si>
  <si>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</si>
  <si>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</si>
  <si>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</si>
  <si>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</si>
  <si>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</si>
  <si>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</si>
  <si>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</si>
  <si>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</si>
  <si>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</si>
  <si>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</si>
  <si>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</si>
  <si>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No. of Stages:</t>
  </si>
  <si>
    <t>Impeller Trim:</t>
  </si>
  <si>
    <t>https://pump-assessment-utility.herokuapp.com/dbInsertPumpTest</t>
  </si>
  <si>
    <t>http://localhost:3000/InsertPumpTest</t>
  </si>
  <si>
    <t>local</t>
  </si>
  <si>
    <t>heroku</t>
  </si>
  <si>
    <t>2018-2-15</t>
  </si>
  <si>
    <t>Failed Test Inserts</t>
  </si>
  <si>
    <t>22BLK</t>
  </si>
  <si>
    <t>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</si>
</sst>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2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0" fillId="0" borderId="0" xfId="0" applyAlignment="1"/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0" fillId="0" borderId="0" xfId="3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0" xfId="0" applyAlignment="1">
      <alignment horizontal="center" wrapText="1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localhost:3000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s://pump-assessment-utility.herokuapp.com/db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zoomScale="85" zoomScaleNormal="85" workbookViewId="0">
      <selection activeCell="N42" sqref="N42:O4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67" t="s">
        <v>59</v>
      </c>
      <c r="C1" s="68">
        <v>1</v>
      </c>
      <c r="D1" s="4"/>
      <c r="E1" s="4"/>
      <c r="G1" s="4"/>
      <c r="H1" s="78" t="s">
        <v>11</v>
      </c>
      <c r="I1" s="79"/>
      <c r="J1" s="79"/>
      <c r="K1" s="80"/>
      <c r="M1" s="78" t="str">
        <f>B18&amp;" "&amp;B19&amp;" Transposed for Model Use"</f>
        <v>Test Pump Curve 2018-2-15 Transposed for Model Use</v>
      </c>
      <c r="N1" s="79"/>
      <c r="O1" s="79"/>
      <c r="P1" s="80"/>
    </row>
    <row r="2" spans="1:19" ht="16.5" thickBot="1" x14ac:dyDescent="0.3">
      <c r="A2" s="6"/>
      <c r="B2" s="14"/>
      <c r="D2" s="8" t="s">
        <v>17</v>
      </c>
      <c r="E2" s="13" t="s">
        <v>64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25">
      <c r="A3" s="73" t="s">
        <v>13</v>
      </c>
      <c r="B3" s="74"/>
      <c r="D3" s="9" t="s">
        <v>19</v>
      </c>
      <c r="E3" s="66" t="s">
        <v>73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25">
      <c r="A4" s="25" t="s">
        <v>14</v>
      </c>
      <c r="B4" s="29">
        <f>B5*1440/1000000</f>
        <v>8.0063999999999993</v>
      </c>
      <c r="D4" s="9" t="s">
        <v>61</v>
      </c>
      <c r="E4" s="65" t="s">
        <v>62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 t="shared" si="1"/>
        <v/>
      </c>
      <c r="O4" s="32">
        <f t="shared" si="1"/>
        <v>0</v>
      </c>
      <c r="P4" s="48" t="str">
        <f t="shared" si="1"/>
        <v/>
      </c>
      <c r="Q4" s="59"/>
    </row>
    <row r="5" spans="1:19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63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9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9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9" s="15" customFormat="1" ht="15" customHeight="1" x14ac:dyDescent="0.25">
      <c r="A8" s="73" t="s">
        <v>55</v>
      </c>
      <c r="B8" s="74"/>
      <c r="D8" s="9" t="s">
        <v>22</v>
      </c>
      <c r="E8" s="36" t="s">
        <v>63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/>
      <c r="R8"/>
    </row>
    <row r="9" spans="1:19" x14ac:dyDescent="0.25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 t="shared" si="1"/>
        <v/>
      </c>
      <c r="O9" s="32">
        <f t="shared" si="1"/>
        <v>0</v>
      </c>
      <c r="P9" s="48" t="str">
        <f t="shared" si="1"/>
        <v/>
      </c>
    </row>
    <row r="10" spans="1:19" x14ac:dyDescent="0.25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9" x14ac:dyDescent="0.25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9" ht="15.75" thickBot="1" x14ac:dyDescent="0.3">
      <c r="A12" s="56" t="s">
        <v>32</v>
      </c>
      <c r="B12" s="35" t="s">
        <v>60</v>
      </c>
      <c r="D12" s="58" t="s">
        <v>65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 t="str">
        <f t="shared" si="1"/>
        <v/>
      </c>
      <c r="O12" s="51">
        <f t="shared" si="1"/>
        <v>0</v>
      </c>
      <c r="P12" s="52" t="str">
        <f t="shared" si="1"/>
        <v/>
      </c>
    </row>
    <row r="13" spans="1:19" x14ac:dyDescent="0.25">
      <c r="C13" s="21"/>
      <c r="D13" s="58" t="s">
        <v>66</v>
      </c>
      <c r="E13" s="13"/>
      <c r="G13" s="21"/>
    </row>
    <row r="16" spans="1:19" x14ac:dyDescent="0.25">
      <c r="C16" s="21"/>
      <c r="D16" s="75" t="s">
        <v>58</v>
      </c>
      <c r="E16" s="76"/>
      <c r="G16" s="21"/>
      <c r="J16" s="38" t="s">
        <v>52</v>
      </c>
      <c r="K16" s="33"/>
      <c r="N16" s="77" t="s">
        <v>67</v>
      </c>
      <c r="O16" s="77"/>
      <c r="P16" s="77"/>
      <c r="Q16" s="77"/>
      <c r="R16" s="72" t="s">
        <v>70</v>
      </c>
      <c r="S16" s="72"/>
    </row>
    <row r="17" spans="1:26" ht="15.75" customHeight="1" x14ac:dyDescent="0.25">
      <c r="C17" s="21"/>
      <c r="D17" s="10" t="s">
        <v>14</v>
      </c>
      <c r="E17" s="61">
        <v>8.82</v>
      </c>
      <c r="G17" s="21"/>
      <c r="J17" s="38" t="s">
        <v>53</v>
      </c>
      <c r="K17" s="28"/>
      <c r="N17" s="77" t="s">
        <v>68</v>
      </c>
      <c r="O17" s="77"/>
      <c r="P17" s="77"/>
      <c r="Q17" s="77"/>
      <c r="R17" s="72" t="s">
        <v>69</v>
      </c>
      <c r="S17" s="72"/>
    </row>
    <row r="18" spans="1:26" ht="15.75" x14ac:dyDescent="0.25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25">
      <c r="A19" s="16" t="s">
        <v>1</v>
      </c>
      <c r="B19" s="60" t="s">
        <v>71</v>
      </c>
      <c r="C19" s="21"/>
      <c r="F19" s="21"/>
      <c r="L19" s="7"/>
    </row>
    <row r="20" spans="1:26" x14ac:dyDescent="0.25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</row>
    <row r="21" spans="1:26" x14ac:dyDescent="0.25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25">
      <c r="A22" s="3" t="s">
        <v>40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26" x14ac:dyDescent="0.25">
      <c r="A24" s="3" t="s">
        <v>44</v>
      </c>
      <c r="B24" s="64">
        <v>133.21766233766235</v>
      </c>
      <c r="C24" s="61"/>
      <c r="D24" s="61"/>
      <c r="E24" s="61"/>
      <c r="F24" s="61"/>
      <c r="G24" s="61"/>
      <c r="H24" s="61"/>
      <c r="I24" s="61"/>
      <c r="J24" s="61"/>
      <c r="K24" s="61"/>
      <c r="O24" s="77" t="s">
        <v>68</v>
      </c>
      <c r="P24" s="77"/>
    </row>
    <row r="25" spans="1:26" x14ac:dyDescent="0.25">
      <c r="A25" s="3" t="s">
        <v>47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O25" s="81" t="s">
        <v>74</v>
      </c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</row>
    <row r="26" spans="1:26" x14ac:dyDescent="0.25">
      <c r="A26" s="3" t="s">
        <v>3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  <c r="M26" s="72" t="s">
        <v>72</v>
      </c>
      <c r="N26" s="72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</row>
    <row r="27" spans="1:26" x14ac:dyDescent="0.25">
      <c r="A27" s="3" t="s">
        <v>33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  <c r="M27" s="72"/>
      <c r="N27" s="72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</row>
    <row r="28" spans="1:26" x14ac:dyDescent="0.25">
      <c r="A28" s="3" t="s">
        <v>34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  <c r="M28" s="69"/>
      <c r="N28" s="69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</row>
    <row r="29" spans="1:26" x14ac:dyDescent="0.25">
      <c r="A29" s="3" t="s">
        <v>35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</row>
    <row r="30" spans="1:26" x14ac:dyDescent="0.25">
      <c r="A30" s="3" t="s">
        <v>36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</row>
    <row r="31" spans="1:26" x14ac:dyDescent="0.25">
      <c r="A31" s="3" t="s">
        <v>37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</row>
    <row r="32" spans="1:26" x14ac:dyDescent="0.25">
      <c r="A32" s="3" t="s">
        <v>38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</row>
    <row r="33" spans="1:26" x14ac:dyDescent="0.25">
      <c r="A33" s="3" t="s">
        <v>4</v>
      </c>
      <c r="B33" s="18">
        <f t="shared" ref="B33:K33" si="3">IF(ISERR((B36*B35*$E$10*1.732)/1000)=FALSE,(B36*B35*$E$10*1.732)/1000,"")</f>
        <v>332.72412799999995</v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</row>
    <row r="34" spans="1:26" x14ac:dyDescent="0.25">
      <c r="A34" s="3" t="s">
        <v>7</v>
      </c>
      <c r="B34" s="19">
        <f>IF(B33&lt;&gt;"",1.341*B33,"")</f>
        <v>446.18305564799994</v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</row>
    <row r="35" spans="1:26" x14ac:dyDescent="0.25">
      <c r="A35" s="3" t="str">
        <f>"Ave. Amps "  &amp; B19</f>
        <v>Ave. Amps 2018-2-15</v>
      </c>
      <c r="B35" s="19">
        <f>IF(B27&lt;&gt;"",AVERAGE(B27:B29),"")</f>
        <v>59</v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</row>
    <row r="36" spans="1:26" x14ac:dyDescent="0.25">
      <c r="A36" s="24" t="str">
        <f>"Ave. Volts "&amp; B19</f>
        <v>Ave. Volts 2018-2-15</v>
      </c>
      <c r="B36" s="23">
        <f>IF(ISERR(AVERAGE(B30:B32))=FALSE,AVERAGE(B30:B32),"")</f>
        <v>4070</v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>IF(ISERR(AVERAGE(E30:E32))=FALSE,AVERAGE(E30:E32),"")</f>
        <v/>
      </c>
      <c r="F36" s="23" t="str">
        <f t="shared" si="6"/>
        <v/>
      </c>
      <c r="G36" s="23" t="str">
        <f t="shared" si="6"/>
        <v/>
      </c>
      <c r="H36" s="23" t="str">
        <f>IF(ISERR(AVERAGE(H30:H32))=FALSE,AVERAGE(H30:H32),"")</f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</row>
    <row r="37" spans="1:26" x14ac:dyDescent="0.25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</row>
    <row r="38" spans="1:26" x14ac:dyDescent="0.25">
      <c r="A38" s="3" t="s">
        <v>6</v>
      </c>
      <c r="B38" s="19">
        <f t="shared" ref="B38:K38" si="8">IF(B26="","",B26*1000000/1440)</f>
        <v>0</v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</row>
    <row r="39" spans="1:26" x14ac:dyDescent="0.25">
      <c r="A39" s="3" t="s">
        <v>8</v>
      </c>
      <c r="B39" s="20">
        <f>IF(B33&lt;&gt;"",B37*B38/3960/B34,"")</f>
        <v>0</v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</row>
    <row r="40" spans="1:26" x14ac:dyDescent="0.25">
      <c r="B40" s="22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</row>
    <row r="42" spans="1:26" x14ac:dyDescent="0.25">
      <c r="N42" s="70"/>
      <c r="O42" s="70"/>
    </row>
    <row r="43" spans="1:26" x14ac:dyDescent="0.25">
      <c r="N43" s="71"/>
      <c r="O43" s="71"/>
    </row>
    <row r="44" spans="1:26" x14ac:dyDescent="0.25">
      <c r="N44" s="71"/>
      <c r="O44" s="71"/>
    </row>
    <row r="45" spans="1:26" x14ac:dyDescent="0.25">
      <c r="N45" s="71"/>
      <c r="O45" s="71"/>
    </row>
    <row r="46" spans="1:26" x14ac:dyDescent="0.25">
      <c r="N46" s="71"/>
      <c r="O46" s="71"/>
    </row>
    <row r="47" spans="1:26" x14ac:dyDescent="0.25">
      <c r="N47" s="71"/>
      <c r="O47" s="71"/>
    </row>
    <row r="48" spans="1:26" x14ac:dyDescent="0.25">
      <c r="N48" s="71"/>
      <c r="O48" s="71"/>
    </row>
    <row r="49" spans="14:15" x14ac:dyDescent="0.25">
      <c r="N49" s="71"/>
      <c r="O49" s="71"/>
    </row>
    <row r="50" spans="14:15" x14ac:dyDescent="0.25">
      <c r="N50" s="71"/>
      <c r="O50" s="71"/>
    </row>
    <row r="51" spans="14:15" x14ac:dyDescent="0.25">
      <c r="N51" s="71"/>
      <c r="O51" s="71"/>
    </row>
    <row r="52" spans="14:15" x14ac:dyDescent="0.25">
      <c r="N52" s="71"/>
      <c r="O52" s="71"/>
    </row>
  </sheetData>
  <sheetProtection selectLockedCells="1"/>
  <dataConsolidate/>
  <mergeCells count="24">
    <mergeCell ref="M26:N26"/>
    <mergeCell ref="M27:N27"/>
    <mergeCell ref="O24:P24"/>
    <mergeCell ref="H1:K1"/>
    <mergeCell ref="M1:P1"/>
    <mergeCell ref="N16:Q16"/>
    <mergeCell ref="O25:Z40"/>
    <mergeCell ref="R16:S16"/>
    <mergeCell ref="R17:S17"/>
    <mergeCell ref="A3:B3"/>
    <mergeCell ref="A8:B8"/>
    <mergeCell ref="D16:E16"/>
    <mergeCell ref="N17:Q17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6" r:id="rId1" xr:uid="{80FAF3AB-7AF2-4C20-9E77-8BC9659D6867}"/>
    <hyperlink ref="N17" r:id="rId2" xr:uid="{C0D6942D-6DE6-45E4-B452-8DE7B718F21E}"/>
    <hyperlink ref="O24" r:id="rId3" xr:uid="{2D73A58E-F391-4CCE-898C-D0A937103D69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serverURL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2018-07-03T02:54:44Z</dcterms:modified>
</cp:coreProperties>
</file>