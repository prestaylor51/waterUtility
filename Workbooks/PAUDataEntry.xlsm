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3536331C-5DB7-4A11-BC57-844BD810D102}" xr6:coauthVersionLast="34" xr6:coauthVersionMax="34" xr10:uidLastSave="{00000000-0000-0000-0000-000000000000}"/>
  <bookViews>
    <workbookView xWindow="0" yWindow="0" windowWidth="28800" windowHeight="13776" tabRatio="365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remote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C33" i="36" s="1"/>
  <c r="D36" i="36"/>
  <c r="E36" i="36"/>
  <c r="F36" i="36"/>
  <c r="G36" i="36"/>
  <c r="H36" i="36"/>
  <c r="I36" i="36"/>
  <c r="J36" i="36"/>
  <c r="J33" i="36" s="1"/>
  <c r="K36" i="36"/>
  <c r="K33" i="36" s="1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G33" i="36" l="1"/>
  <c r="G34" i="36" s="1"/>
  <c r="G39" i="36" s="1"/>
  <c r="F33" i="36"/>
  <c r="E33" i="36"/>
  <c r="E34" i="36" s="1"/>
  <c r="E39" i="36" s="1"/>
  <c r="D33" i="36"/>
  <c r="D34" i="36" s="1"/>
  <c r="D39" i="36" s="1"/>
  <c r="I33" i="36"/>
  <c r="I34" i="36" s="1"/>
  <c r="H33" i="36"/>
  <c r="H34" i="36" s="1"/>
  <c r="C34" i="36"/>
  <c r="C39" i="36" s="1"/>
  <c r="J34" i="36"/>
  <c r="J39" i="36" s="1"/>
  <c r="B34" i="36"/>
  <c r="B39" i="36"/>
  <c r="K34" i="36"/>
  <c r="K39" i="36"/>
  <c r="E18" i="36"/>
  <c r="F34" i="36" l="1"/>
  <c r="F39" i="36" s="1"/>
  <c r="I39" i="36"/>
  <c r="H39" i="36"/>
  <c r="A23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<sst xmlns="http://schemas.openxmlformats.org/spreadsheetml/2006/main" count="82" uniqueCount="75">
  <si>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</si>
  <si>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</si>
  <si>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</si>
  <si>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</si>
  <si>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</si>
  <si>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</si>
  <si>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</si>
  <si>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</si>
  <si>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</si>
  <si>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</si>
  <si>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</si>
  <si>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</si>
  <si>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</si>
  <si>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</si>
  <si>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</si>
  <si>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</si>
  <si>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</si>
  <si>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</si>
  <si>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</si>
  <si>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</si>
  <si>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</si>
  <si>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</si>
  <si>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</si>
  <si>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</si>
  <si>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</si>
  <si>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</si>
  <si>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</si>
  <si>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</si>
  <si>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</si>
  <si>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</si>
  <si>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</si>
  <si>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</si>
  <si>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</si>
  <si>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</si>
  <si>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</si>
  <si>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</si>
  <si>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</si>
  <si>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</si>
  <si>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</si>
  <si>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</si>
  <si>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</si>
  <si>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</si>
  <si>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</si>
  <si>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</si>
  <si>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</si>
  <si>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</si>
  <si>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</si>
  <si>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</si>
  <si>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</si>
  <si>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</si>
  <si>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</si>
  <si>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</si>
  <si>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</si>
  <si>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</si>
  <si>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</si>
  <si>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</si>
  <si>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</si>
  <si>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</si>
  <si>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</si>
  <si>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SBFFPS</t>
  </si>
  <si>
    <t>Falcon Field</t>
  </si>
  <si>
    <t>Serial Number:</t>
  </si>
  <si>
    <t>2018</t>
  </si>
  <si>
    <t>Floway</t>
  </si>
  <si>
    <t>No. of Stages:</t>
  </si>
  <si>
    <t>Impeller Trim:</t>
  </si>
  <si>
    <t>http://localhost:3000/InsertPumpTest</t>
  </si>
  <si>
    <t>local</t>
  </si>
  <si>
    <t>heroku</t>
  </si>
  <si>
    <t>Failed Test Inserts</t>
  </si>
  <si>
    <t>22BLK</t>
  </si>
  <si>
    <t>https://pump-assessment-utility.herokuapp.com/InsertPumpTest</t>
  </si>
  <si>
    <t>78639-1-3</t>
  </si>
  <si>
    <t>[]</t>
  </si>
  <si>
    <t>2015-8-30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</si>
</sst>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0" fillId="0" borderId="0" xfId="0" applyAlignment="1"/>
    <xf numFmtId="0" fontId="0" fillId="0" borderId="0" xfId="0"/>
    <xf numFmtId="0" fontId="10" fillId="0" borderId="0" xfId="3"/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10" fillId="0" borderId="0" xfId="3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20</xdr:row>
          <xdr:rowOff>7620</xdr:rowOff>
        </xdr:from>
        <xdr:to>
          <xdr:col>13</xdr:col>
          <xdr:colOff>754380</xdr:colOff>
          <xdr:row>22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pump-assessment-utility.herokuapp.com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://localhost:3000/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topLeftCell="A10" zoomScale="85" zoomScaleNormal="85" workbookViewId="0">
      <selection activeCell="N18" sqref="N18"/>
    </sheetView>
  </sheetViews>
  <sheetFormatPr defaultRowHeight="14.4" x14ac:dyDescent="0.3"/>
  <cols>
    <col min="1" max="1" width="27.6640625" customWidth="1"/>
    <col min="2" max="2" width="13.5546875" customWidth="1"/>
    <col min="3" max="3" width="8.88671875" customWidth="1"/>
    <col min="4" max="4" width="12.5546875" customWidth="1"/>
    <col min="5" max="5" width="18.33203125" customWidth="1"/>
    <col min="6" max="6" width="8.88671875" customWidth="1"/>
    <col min="7" max="8" width="8.44140625" customWidth="1"/>
    <col min="9" max="10" width="11" customWidth="1"/>
    <col min="11" max="11" width="11.6640625" customWidth="1"/>
    <col min="12" max="12" width="3.44140625" customWidth="1"/>
    <col min="13" max="13" width="7" customWidth="1"/>
    <col min="14" max="14" width="14.44140625" customWidth="1"/>
    <col min="15" max="15" width="25.44140625" customWidth="1"/>
    <col min="16" max="16" width="23" customWidth="1"/>
    <col min="19" max="19" width="10.6640625" customWidth="1"/>
    <col min="20" max="20" width="10.44140625" customWidth="1"/>
    <col min="22" max="22" width="10.33203125" customWidth="1"/>
  </cols>
  <sheetData>
    <row r="1" spans="1:19" ht="21" x14ac:dyDescent="0.4">
      <c r="A1" s="5" t="s">
        <v>12</v>
      </c>
      <c r="B1" s="67" t="s">
        <v>59</v>
      </c>
      <c r="C1" s="68">
        <v>1</v>
      </c>
      <c r="D1" s="4"/>
      <c r="E1" s="4"/>
      <c r="G1" s="4"/>
      <c r="H1" s="73" t="s">
        <v>11</v>
      </c>
      <c r="I1" s="74"/>
      <c r="J1" s="74"/>
      <c r="K1" s="75"/>
      <c r="M1" s="73" t="str">
        <f>B18&amp;" "&amp;B19&amp;" Transposed for Model Use"</f>
        <v>Test Pump Curve 2015-8-30 Transposed for Model Use</v>
      </c>
      <c r="N1" s="74"/>
      <c r="O1" s="74"/>
      <c r="P1" s="75"/>
    </row>
    <row r="2" spans="1:19" ht="16.2" thickBot="1" x14ac:dyDescent="0.35">
      <c r="A2" s="6"/>
      <c r="B2" s="14"/>
      <c r="D2" s="8" t="s">
        <v>17</v>
      </c>
      <c r="E2" s="13" t="s">
        <v>63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3">
      <c r="A3" s="78" t="s">
        <v>13</v>
      </c>
      <c r="B3" s="79"/>
      <c r="D3" s="9" t="s">
        <v>19</v>
      </c>
      <c r="E3" s="66" t="s">
        <v>70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3">
      <c r="A4" s="25" t="s">
        <v>14</v>
      </c>
      <c r="B4" s="29">
        <f>B5*1440/1000000</f>
        <v>8.0063999999999993</v>
      </c>
      <c r="D4" s="9" t="s">
        <v>61</v>
      </c>
      <c r="E4" s="65" t="s">
        <v>72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>
        <f t="shared" si="1"/>
        <v>313.18280000000004</v>
      </c>
      <c r="O4" s="32">
        <f t="shared" si="1"/>
        <v>0</v>
      </c>
      <c r="P4" s="48">
        <f t="shared" si="1"/>
        <v>0</v>
      </c>
      <c r="Q4" s="59"/>
    </row>
    <row r="5" spans="1:19" ht="16.5" customHeight="1" x14ac:dyDescent="0.3">
      <c r="A5" s="25" t="s">
        <v>15</v>
      </c>
      <c r="B5" s="34">
        <v>5560</v>
      </c>
      <c r="C5" s="21"/>
      <c r="D5" s="9" t="s">
        <v>21</v>
      </c>
      <c r="E5" s="36" t="s">
        <v>62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>
        <f t="shared" si="1"/>
        <v>313.18280000000004</v>
      </c>
      <c r="O5" s="32">
        <f t="shared" si="1"/>
        <v>0</v>
      </c>
      <c r="P5" s="48">
        <f t="shared" si="1"/>
        <v>0</v>
      </c>
      <c r="Q5" s="59"/>
    </row>
    <row r="6" spans="1:19" ht="15" thickBot="1" x14ac:dyDescent="0.35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>
        <f t="shared" si="1"/>
        <v>313.18280000000004</v>
      </c>
      <c r="O6" s="32">
        <f t="shared" si="1"/>
        <v>0</v>
      </c>
      <c r="P6" s="48">
        <f t="shared" si="1"/>
        <v>0</v>
      </c>
      <c r="Q6" s="59"/>
    </row>
    <row r="7" spans="1:19" ht="15" thickBot="1" x14ac:dyDescent="0.35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>
        <f t="shared" si="1"/>
        <v>313.18280000000004</v>
      </c>
      <c r="O7" s="32">
        <f t="shared" si="1"/>
        <v>0</v>
      </c>
      <c r="P7" s="48">
        <f t="shared" si="1"/>
        <v>0</v>
      </c>
      <c r="Q7" s="59"/>
    </row>
    <row r="8" spans="1:19" s="15" customFormat="1" ht="15" customHeight="1" x14ac:dyDescent="0.3">
      <c r="A8" s="78" t="s">
        <v>55</v>
      </c>
      <c r="B8" s="79"/>
      <c r="D8" s="9" t="s">
        <v>22</v>
      </c>
      <c r="E8" s="36" t="s">
        <v>62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>
        <f t="shared" si="1"/>
        <v>313.18280000000004</v>
      </c>
      <c r="O8" s="32">
        <f t="shared" si="1"/>
        <v>0</v>
      </c>
      <c r="P8" s="48">
        <f t="shared" si="1"/>
        <v>0</v>
      </c>
      <c r="Q8"/>
      <c r="R8"/>
    </row>
    <row r="9" spans="1:19" x14ac:dyDescent="0.3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>
        <f t="shared" si="1"/>
        <v>313.18280000000004</v>
      </c>
      <c r="O9" s="32">
        <f t="shared" si="1"/>
        <v>0</v>
      </c>
      <c r="P9" s="48">
        <f t="shared" si="1"/>
        <v>0</v>
      </c>
    </row>
    <row r="10" spans="1:19" x14ac:dyDescent="0.3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>
        <f t="shared" si="1"/>
        <v>313.18280000000004</v>
      </c>
      <c r="O10" s="32">
        <f t="shared" si="1"/>
        <v>0</v>
      </c>
      <c r="P10" s="48">
        <f t="shared" si="1"/>
        <v>0</v>
      </c>
    </row>
    <row r="11" spans="1:19" x14ac:dyDescent="0.3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>
        <f t="shared" si="1"/>
        <v>313.18280000000004</v>
      </c>
      <c r="O11" s="32">
        <f t="shared" si="1"/>
        <v>0</v>
      </c>
      <c r="P11" s="48">
        <f t="shared" si="1"/>
        <v>0</v>
      </c>
    </row>
    <row r="12" spans="1:19" ht="15" thickBot="1" x14ac:dyDescent="0.35">
      <c r="A12" s="56" t="s">
        <v>32</v>
      </c>
      <c r="B12" s="35" t="s">
        <v>60</v>
      </c>
      <c r="D12" s="58" t="s">
        <v>64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>
        <f t="shared" si="1"/>
        <v>313.18280000000004</v>
      </c>
      <c r="O12" s="51">
        <f t="shared" si="1"/>
        <v>0</v>
      </c>
      <c r="P12" s="52">
        <f t="shared" si="1"/>
        <v>0</v>
      </c>
    </row>
    <row r="13" spans="1:19" x14ac:dyDescent="0.3">
      <c r="C13" s="21"/>
      <c r="D13" s="58" t="s">
        <v>65</v>
      </c>
      <c r="E13" s="13"/>
      <c r="G13" s="21"/>
    </row>
    <row r="16" spans="1:19" x14ac:dyDescent="0.3">
      <c r="C16" s="21"/>
      <c r="D16" s="80" t="s">
        <v>58</v>
      </c>
      <c r="E16" s="81"/>
      <c r="G16" s="21"/>
      <c r="J16" s="38" t="s">
        <v>52</v>
      </c>
      <c r="K16" s="33"/>
      <c r="N16" s="71" t="s">
        <v>71</v>
      </c>
      <c r="O16" s="70"/>
      <c r="P16" s="70"/>
      <c r="Q16" s="70"/>
      <c r="R16" s="72" t="s">
        <v>68</v>
      </c>
      <c r="S16" s="72"/>
    </row>
    <row r="17" spans="1:26" ht="15.75" customHeight="1" x14ac:dyDescent="0.3">
      <c r="C17" s="21"/>
      <c r="D17" s="10" t="s">
        <v>14</v>
      </c>
      <c r="E17" s="61">
        <v>8.82</v>
      </c>
      <c r="G17" s="21"/>
      <c r="J17" s="38" t="s">
        <v>53</v>
      </c>
      <c r="K17" s="28"/>
      <c r="N17" s="77" t="s">
        <v>66</v>
      </c>
      <c r="O17" s="77"/>
      <c r="P17" s="77"/>
      <c r="Q17" s="77"/>
      <c r="R17" s="72" t="s">
        <v>67</v>
      </c>
      <c r="S17" s="72"/>
    </row>
    <row r="18" spans="1:26" ht="15.6" x14ac:dyDescent="0.3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3">
      <c r="A19" s="16" t="s">
        <v>1</v>
      </c>
      <c r="B19" s="60" t="s">
        <v>74</v>
      </c>
      <c r="C19" s="21"/>
      <c r="F19" s="21"/>
      <c r="L19" s="7"/>
    </row>
    <row r="20" spans="1:26" x14ac:dyDescent="0.3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  <c r="O20" s="71"/>
    </row>
    <row r="21" spans="1:26" x14ac:dyDescent="0.3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3">
      <c r="A22" s="3" t="s">
        <v>40</v>
      </c>
      <c r="B22" s="61">
        <v>100</v>
      </c>
      <c r="C22" s="61">
        <v>100</v>
      </c>
      <c r="D22" s="61">
        <v>100</v>
      </c>
      <c r="E22" s="61">
        <v>100</v>
      </c>
      <c r="F22" s="61">
        <v>100</v>
      </c>
      <c r="G22" s="61">
        <v>100</v>
      </c>
      <c r="H22" s="61">
        <v>100</v>
      </c>
      <c r="I22" s="61">
        <v>100</v>
      </c>
      <c r="J22" s="61">
        <v>100</v>
      </c>
      <c r="K22" s="61">
        <v>100</v>
      </c>
      <c r="L22" s="7"/>
    </row>
    <row r="23" spans="1:26" x14ac:dyDescent="0.3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>
        <v>23.05</v>
      </c>
      <c r="D23" s="62">
        <v>23.05</v>
      </c>
      <c r="E23" s="62">
        <v>23.05</v>
      </c>
      <c r="F23" s="62">
        <v>23.05</v>
      </c>
      <c r="G23" s="62">
        <v>23.05</v>
      </c>
      <c r="H23" s="62">
        <v>23.05</v>
      </c>
      <c r="I23" s="62">
        <v>23.05</v>
      </c>
      <c r="J23" s="62">
        <v>23.05</v>
      </c>
      <c r="K23" s="62">
        <v>23.05</v>
      </c>
      <c r="L23" s="7"/>
    </row>
    <row r="24" spans="1:26" x14ac:dyDescent="0.3">
      <c r="A24" s="3" t="s">
        <v>44</v>
      </c>
      <c r="B24" s="64">
        <v>133.21766233766235</v>
      </c>
      <c r="C24" s="64">
        <v>133.21766233766235</v>
      </c>
      <c r="D24" s="64">
        <v>133.21766233766235</v>
      </c>
      <c r="E24" s="64">
        <v>133.21766233766235</v>
      </c>
      <c r="F24" s="64">
        <v>133.21766233766235</v>
      </c>
      <c r="G24" s="64">
        <v>133.21766233766235</v>
      </c>
      <c r="H24" s="64">
        <v>133.21766233766235</v>
      </c>
      <c r="I24" s="64">
        <v>133.21766233766235</v>
      </c>
      <c r="J24" s="64">
        <v>133.21766233766235</v>
      </c>
      <c r="K24" s="64">
        <v>133.21766233766235</v>
      </c>
      <c r="O24" s="77" t="s">
        <v>66</v>
      </c>
      <c r="P24" s="77"/>
      <c r="Q24" s="77"/>
      <c r="R24" s="77"/>
      <c r="S24" s="77"/>
      <c r="T24" s="77"/>
    </row>
    <row r="25" spans="1:26" x14ac:dyDescent="0.3">
      <c r="A25" s="3" t="s">
        <v>47</v>
      </c>
      <c r="B25" s="61">
        <v>58.5</v>
      </c>
      <c r="C25" s="61">
        <v>58.5</v>
      </c>
      <c r="D25" s="61">
        <v>58.5</v>
      </c>
      <c r="E25" s="61">
        <v>58.5</v>
      </c>
      <c r="F25" s="61">
        <v>58.5</v>
      </c>
      <c r="G25" s="61">
        <v>58.5</v>
      </c>
      <c r="H25" s="61">
        <v>58.5</v>
      </c>
      <c r="I25" s="61">
        <v>58.5</v>
      </c>
      <c r="J25" s="61">
        <v>58.5</v>
      </c>
      <c r="K25" s="61">
        <v>58.5</v>
      </c>
      <c r="O25" s="76" t="s">
        <v>73</v>
      </c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</row>
    <row r="26" spans="1:26" x14ac:dyDescent="0.3">
      <c r="A26" s="3" t="s">
        <v>3</v>
      </c>
      <c r="B26" s="63">
        <v>0</v>
      </c>
      <c r="C26" s="63">
        <v>0</v>
      </c>
      <c r="D26" s="63">
        <v>0</v>
      </c>
      <c r="E26" s="63">
        <v>0</v>
      </c>
      <c r="F26" s="63">
        <v>0</v>
      </c>
      <c r="G26" s="63">
        <v>0</v>
      </c>
      <c r="H26" s="63">
        <v>0</v>
      </c>
      <c r="I26" s="63">
        <v>0</v>
      </c>
      <c r="J26" s="63">
        <v>0</v>
      </c>
      <c r="K26" s="63">
        <v>0</v>
      </c>
      <c r="M26" s="72" t="s">
        <v>69</v>
      </c>
      <c r="N26" s="72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</row>
    <row r="27" spans="1:26" x14ac:dyDescent="0.3">
      <c r="A27" s="3" t="s">
        <v>33</v>
      </c>
      <c r="B27" s="61">
        <v>59</v>
      </c>
      <c r="C27" s="61">
        <v>59</v>
      </c>
      <c r="D27" s="61">
        <v>59</v>
      </c>
      <c r="E27" s="61">
        <v>59</v>
      </c>
      <c r="F27" s="61">
        <v>59</v>
      </c>
      <c r="G27" s="61">
        <v>59</v>
      </c>
      <c r="H27" s="61">
        <v>59</v>
      </c>
      <c r="I27" s="61">
        <v>59</v>
      </c>
      <c r="J27" s="61">
        <v>59</v>
      </c>
      <c r="K27" s="61">
        <v>59</v>
      </c>
      <c r="M27" s="72"/>
      <c r="N27" s="72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</row>
    <row r="28" spans="1:26" x14ac:dyDescent="0.3">
      <c r="A28" s="3" t="s">
        <v>34</v>
      </c>
      <c r="B28" s="61">
        <v>59</v>
      </c>
      <c r="C28" s="61">
        <v>59</v>
      </c>
      <c r="D28" s="61">
        <v>59</v>
      </c>
      <c r="E28" s="61">
        <v>59</v>
      </c>
      <c r="F28" s="61">
        <v>59</v>
      </c>
      <c r="G28" s="61">
        <v>59</v>
      </c>
      <c r="H28" s="61">
        <v>59</v>
      </c>
      <c r="I28" s="61">
        <v>59</v>
      </c>
      <c r="J28" s="61">
        <v>59</v>
      </c>
      <c r="K28" s="61">
        <v>59</v>
      </c>
      <c r="M28" s="69"/>
      <c r="N28" s="69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</row>
    <row r="29" spans="1:26" x14ac:dyDescent="0.3">
      <c r="A29" s="3" t="s">
        <v>35</v>
      </c>
      <c r="B29" s="61">
        <v>59</v>
      </c>
      <c r="C29" s="61">
        <v>59</v>
      </c>
      <c r="D29" s="61">
        <v>59</v>
      </c>
      <c r="E29" s="61">
        <v>59</v>
      </c>
      <c r="F29" s="61">
        <v>59</v>
      </c>
      <c r="G29" s="61">
        <v>59</v>
      </c>
      <c r="H29" s="61">
        <v>59</v>
      </c>
      <c r="I29" s="61">
        <v>59</v>
      </c>
      <c r="J29" s="61">
        <v>59</v>
      </c>
      <c r="K29" s="61">
        <v>59</v>
      </c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</row>
    <row r="30" spans="1:26" x14ac:dyDescent="0.3">
      <c r="A30" s="3" t="s">
        <v>36</v>
      </c>
      <c r="B30" s="61">
        <v>4070</v>
      </c>
      <c r="C30" s="61">
        <v>4070</v>
      </c>
      <c r="D30" s="61">
        <v>4070</v>
      </c>
      <c r="E30" s="61">
        <v>4070</v>
      </c>
      <c r="F30" s="61">
        <v>4070</v>
      </c>
      <c r="G30" s="61">
        <v>4070</v>
      </c>
      <c r="H30" s="61">
        <v>4070</v>
      </c>
      <c r="I30" s="61">
        <v>4070</v>
      </c>
      <c r="J30" s="61">
        <v>4070</v>
      </c>
      <c r="K30" s="61">
        <v>4070</v>
      </c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</row>
    <row r="31" spans="1:26" x14ac:dyDescent="0.3">
      <c r="A31" s="3" t="s">
        <v>37</v>
      </c>
      <c r="B31" s="61">
        <v>4070</v>
      </c>
      <c r="C31" s="61">
        <v>4070</v>
      </c>
      <c r="D31" s="61">
        <v>4070</v>
      </c>
      <c r="E31" s="61">
        <v>4070</v>
      </c>
      <c r="F31" s="61">
        <v>4070</v>
      </c>
      <c r="G31" s="61">
        <v>4070</v>
      </c>
      <c r="H31" s="61">
        <v>4070</v>
      </c>
      <c r="I31" s="61">
        <v>4070</v>
      </c>
      <c r="J31" s="61">
        <v>4070</v>
      </c>
      <c r="K31" s="61">
        <v>4070</v>
      </c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</row>
    <row r="32" spans="1:26" x14ac:dyDescent="0.3">
      <c r="A32" s="3" t="s">
        <v>38</v>
      </c>
      <c r="B32" s="61">
        <v>4070</v>
      </c>
      <c r="C32" s="61">
        <v>4070</v>
      </c>
      <c r="D32" s="61">
        <v>4070</v>
      </c>
      <c r="E32" s="61">
        <v>4070</v>
      </c>
      <c r="F32" s="61">
        <v>4070</v>
      </c>
      <c r="G32" s="61">
        <v>4070</v>
      </c>
      <c r="H32" s="61">
        <v>4070</v>
      </c>
      <c r="I32" s="61">
        <v>4070</v>
      </c>
      <c r="J32" s="61">
        <v>4070</v>
      </c>
      <c r="K32" s="61">
        <v>4070</v>
      </c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</row>
    <row r="33" spans="1:26" x14ac:dyDescent="0.3">
      <c r="A33" s="3" t="s">
        <v>4</v>
      </c>
      <c r="B33" s="18">
        <f t="shared" ref="B33:K33" si="3">IF(ISERR((B36*B35*$E$10*1.732)/1000)=FALSE,(B36*B35*$E$10*1.732)/1000,"")</f>
        <v>332.72412799999995</v>
      </c>
      <c r="C33" s="18">
        <f t="shared" si="3"/>
        <v>332.72412799999995</v>
      </c>
      <c r="D33" s="18">
        <f t="shared" si="3"/>
        <v>332.72412799999995</v>
      </c>
      <c r="E33" s="18">
        <f t="shared" si="3"/>
        <v>332.72412799999995</v>
      </c>
      <c r="F33" s="18">
        <f t="shared" si="3"/>
        <v>332.72412799999995</v>
      </c>
      <c r="G33" s="18">
        <f t="shared" si="3"/>
        <v>332.72412799999995</v>
      </c>
      <c r="H33" s="18">
        <f t="shared" si="3"/>
        <v>332.72412799999995</v>
      </c>
      <c r="I33" s="18">
        <f t="shared" si="3"/>
        <v>332.72412799999995</v>
      </c>
      <c r="J33" s="18">
        <f t="shared" si="3"/>
        <v>332.72412799999995</v>
      </c>
      <c r="K33" s="18">
        <f t="shared" si="3"/>
        <v>332.72412799999995</v>
      </c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</row>
    <row r="34" spans="1:26" x14ac:dyDescent="0.3">
      <c r="A34" s="3" t="s">
        <v>7</v>
      </c>
      <c r="B34" s="19">
        <f>IF(B33&lt;&gt;"",1.341*B33,"")</f>
        <v>446.18305564799994</v>
      </c>
      <c r="C34" s="19">
        <f t="shared" ref="C34:K34" si="4">IF(C33&lt;&gt;"",1.341*C33,"")</f>
        <v>446.18305564799994</v>
      </c>
      <c r="D34" s="19">
        <f t="shared" si="4"/>
        <v>446.18305564799994</v>
      </c>
      <c r="E34" s="19">
        <f t="shared" si="4"/>
        <v>446.18305564799994</v>
      </c>
      <c r="F34" s="19">
        <f t="shared" si="4"/>
        <v>446.18305564799994</v>
      </c>
      <c r="G34" s="19">
        <f t="shared" si="4"/>
        <v>446.18305564799994</v>
      </c>
      <c r="H34" s="19">
        <f t="shared" si="4"/>
        <v>446.18305564799994</v>
      </c>
      <c r="I34" s="19">
        <f t="shared" si="4"/>
        <v>446.18305564799994</v>
      </c>
      <c r="J34" s="19">
        <f t="shared" si="4"/>
        <v>446.18305564799994</v>
      </c>
      <c r="K34" s="19">
        <f t="shared" si="4"/>
        <v>446.18305564799994</v>
      </c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</row>
    <row r="35" spans="1:26" x14ac:dyDescent="0.3">
      <c r="A35" s="3" t="str">
        <f>"Ave. Amps "  &amp; B19</f>
        <v>Ave. Amps 2015-8-30</v>
      </c>
      <c r="B35" s="19">
        <f>IF(B27&lt;&gt;"",AVERAGE(B27:B29),"")</f>
        <v>59</v>
      </c>
      <c r="C35" s="19">
        <f t="shared" ref="C35:K35" si="5">IF(C27&lt;&gt;"",AVERAGE(C27:C29),"")</f>
        <v>59</v>
      </c>
      <c r="D35" s="19">
        <f t="shared" si="5"/>
        <v>59</v>
      </c>
      <c r="E35" s="19">
        <f t="shared" si="5"/>
        <v>59</v>
      </c>
      <c r="F35" s="19">
        <f t="shared" si="5"/>
        <v>59</v>
      </c>
      <c r="G35" s="19">
        <f t="shared" si="5"/>
        <v>59</v>
      </c>
      <c r="H35" s="19">
        <f t="shared" si="5"/>
        <v>59</v>
      </c>
      <c r="I35" s="19">
        <f t="shared" si="5"/>
        <v>59</v>
      </c>
      <c r="J35" s="19">
        <f t="shared" si="5"/>
        <v>59</v>
      </c>
      <c r="K35" s="19">
        <f t="shared" si="5"/>
        <v>59</v>
      </c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</row>
    <row r="36" spans="1:26" x14ac:dyDescent="0.3">
      <c r="A36" s="24" t="str">
        <f>"Ave. Volts "&amp; B19</f>
        <v>Ave. Volts 2015-8-30</v>
      </c>
      <c r="B36" s="23">
        <f>IF(ISERR(AVERAGE(B30:B32))=FALSE,AVERAGE(B30:B32),"")</f>
        <v>4070</v>
      </c>
      <c r="C36" s="23">
        <f t="shared" ref="C36:K36" si="6">IF(ISERR(AVERAGE(C30:C32))=FALSE,AVERAGE(C30:C32),"")</f>
        <v>4070</v>
      </c>
      <c r="D36" s="23">
        <f t="shared" si="6"/>
        <v>4070</v>
      </c>
      <c r="E36" s="23">
        <f>IF(ISERR(AVERAGE(E30:E32))=FALSE,AVERAGE(E30:E32),"")</f>
        <v>4070</v>
      </c>
      <c r="F36" s="23">
        <f t="shared" si="6"/>
        <v>4070</v>
      </c>
      <c r="G36" s="23">
        <f t="shared" si="6"/>
        <v>4070</v>
      </c>
      <c r="H36" s="23">
        <f>IF(ISERR(AVERAGE(H30:H32))=FALSE,AVERAGE(H30:H32),"")</f>
        <v>4070</v>
      </c>
      <c r="I36" s="23">
        <f t="shared" si="6"/>
        <v>4070</v>
      </c>
      <c r="J36" s="23">
        <f t="shared" si="6"/>
        <v>4070</v>
      </c>
      <c r="K36" s="23">
        <f t="shared" si="6"/>
        <v>4070</v>
      </c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</row>
    <row r="37" spans="1:26" x14ac:dyDescent="0.3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>
        <f t="shared" si="7"/>
        <v>313.18280000000004</v>
      </c>
      <c r="D37" s="18">
        <f t="shared" si="7"/>
        <v>313.18280000000004</v>
      </c>
      <c r="E37" s="18">
        <f t="shared" si="7"/>
        <v>313.18280000000004</v>
      </c>
      <c r="F37" s="18">
        <f t="shared" si="7"/>
        <v>313.18280000000004</v>
      </c>
      <c r="G37" s="18">
        <f t="shared" si="7"/>
        <v>313.18280000000004</v>
      </c>
      <c r="H37" s="18">
        <f t="shared" si="7"/>
        <v>313.18280000000004</v>
      </c>
      <c r="I37" s="18">
        <f t="shared" si="7"/>
        <v>313.18280000000004</v>
      </c>
      <c r="J37" s="18">
        <f t="shared" si="7"/>
        <v>313.18280000000004</v>
      </c>
      <c r="K37" s="18">
        <f t="shared" si="7"/>
        <v>313.18280000000004</v>
      </c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</row>
    <row r="38" spans="1:26" x14ac:dyDescent="0.3">
      <c r="A38" s="3" t="s">
        <v>6</v>
      </c>
      <c r="B38" s="19">
        <f t="shared" ref="B38:K38" si="8">IF(B26="","",B26*1000000/1440)</f>
        <v>0</v>
      </c>
      <c r="C38" s="19">
        <f t="shared" si="8"/>
        <v>0</v>
      </c>
      <c r="D38" s="19">
        <f t="shared" si="8"/>
        <v>0</v>
      </c>
      <c r="E38" s="19">
        <f t="shared" si="8"/>
        <v>0</v>
      </c>
      <c r="F38" s="19">
        <f t="shared" si="8"/>
        <v>0</v>
      </c>
      <c r="G38" s="19">
        <f t="shared" si="8"/>
        <v>0</v>
      </c>
      <c r="H38" s="19">
        <f t="shared" si="8"/>
        <v>0</v>
      </c>
      <c r="I38" s="19">
        <f t="shared" si="8"/>
        <v>0</v>
      </c>
      <c r="J38" s="19">
        <f t="shared" si="8"/>
        <v>0</v>
      </c>
      <c r="K38" s="19">
        <f t="shared" si="8"/>
        <v>0</v>
      </c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</row>
    <row r="39" spans="1:26" x14ac:dyDescent="0.3">
      <c r="A39" s="3" t="s">
        <v>8</v>
      </c>
      <c r="B39" s="20">
        <f>IF(B33&lt;&gt;"",B37*B38/3960/B34,"")</f>
        <v>0</v>
      </c>
      <c r="C39" s="20">
        <f t="shared" ref="C39:K39" si="9">IF(C33&lt;&gt;"",C37*C38/3960/C34,"")</f>
        <v>0</v>
      </c>
      <c r="D39" s="20">
        <f t="shared" si="9"/>
        <v>0</v>
      </c>
      <c r="E39" s="20">
        <f t="shared" si="9"/>
        <v>0</v>
      </c>
      <c r="F39" s="20">
        <f t="shared" si="9"/>
        <v>0</v>
      </c>
      <c r="G39" s="20">
        <f t="shared" si="9"/>
        <v>0</v>
      </c>
      <c r="H39" s="20">
        <f t="shared" si="9"/>
        <v>0</v>
      </c>
      <c r="I39" s="20">
        <f t="shared" si="9"/>
        <v>0</v>
      </c>
      <c r="J39" s="20">
        <f t="shared" si="9"/>
        <v>0</v>
      </c>
      <c r="K39" s="20">
        <f t="shared" si="9"/>
        <v>0</v>
      </c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</row>
    <row r="40" spans="1:26" x14ac:dyDescent="0.3">
      <c r="B40" s="22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</row>
    <row r="42" spans="1:26" x14ac:dyDescent="0.3">
      <c r="N42" s="83"/>
      <c r="O42" s="83"/>
    </row>
    <row r="43" spans="1:26" x14ac:dyDescent="0.3">
      <c r="N43" s="82"/>
      <c r="O43" s="82"/>
    </row>
    <row r="44" spans="1:26" x14ac:dyDescent="0.3">
      <c r="N44" s="82"/>
      <c r="O44" s="82"/>
    </row>
    <row r="45" spans="1:26" x14ac:dyDescent="0.3">
      <c r="N45" s="82"/>
      <c r="O45" s="82"/>
    </row>
    <row r="46" spans="1:26" x14ac:dyDescent="0.3">
      <c r="N46" s="82"/>
      <c r="O46" s="82"/>
    </row>
    <row r="47" spans="1:26" x14ac:dyDescent="0.3">
      <c r="N47" s="82"/>
      <c r="O47" s="82"/>
    </row>
    <row r="48" spans="1:26" x14ac:dyDescent="0.3">
      <c r="N48" s="82"/>
      <c r="O48" s="82"/>
    </row>
    <row r="49" spans="14:15" x14ac:dyDescent="0.3">
      <c r="N49" s="82"/>
      <c r="O49" s="82"/>
    </row>
    <row r="50" spans="14:15" x14ac:dyDescent="0.3">
      <c r="N50" s="82"/>
      <c r="O50" s="82"/>
    </row>
    <row r="51" spans="14:15" x14ac:dyDescent="0.3">
      <c r="N51" s="82"/>
      <c r="O51" s="82"/>
    </row>
    <row r="52" spans="14:15" x14ac:dyDescent="0.3">
      <c r="N52" s="82"/>
      <c r="O52" s="82"/>
    </row>
  </sheetData>
  <sheetProtection selectLockedCells="1"/>
  <dataConsolidate/>
  <mergeCells count="23">
    <mergeCell ref="A3:B3"/>
    <mergeCell ref="A8:B8"/>
    <mergeCell ref="D16:E16"/>
    <mergeCell ref="N17:Q17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M26:N26"/>
    <mergeCell ref="M27:N27"/>
    <mergeCell ref="H1:K1"/>
    <mergeCell ref="M1:P1"/>
    <mergeCell ref="O25:Z40"/>
    <mergeCell ref="R16:S16"/>
    <mergeCell ref="R17:S17"/>
    <mergeCell ref="O24:T24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7" r:id="rId1" xr:uid="{C0D6942D-6DE6-45E4-B452-8DE7B718F21E}"/>
    <hyperlink ref="O24" r:id="rId2" xr:uid="{2D73A58E-F391-4CCE-898C-D0A937103D69}"/>
    <hyperlink ref="N16" r:id="rId3" xr:uid="{BA2D014C-C0C0-4CD9-8F7D-9A2A4D246A97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175260</xdr:colOff>
                    <xdr:row>20</xdr:row>
                    <xdr:rowOff>7620</xdr:rowOff>
                  </from>
                  <to>
                    <xdr:col>13</xdr:col>
                    <xdr:colOff>754380</xdr:colOff>
                    <xdr:row>22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remoteURL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2018-07-22T03:07:22Z</dcterms:modified>
</cp:coreProperties>
</file>