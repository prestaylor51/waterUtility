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waterUtility\Workbooks\"/>
    </mc:Choice>
  </mc:AlternateContent>
  <xr:revisionPtr revIDLastSave="0" documentId="13_ncr:1_{2D9F2BCA-C9A7-4C4A-BA56-A7F2C8D2C38B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remote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E36" i="36"/>
  <c r="F36" i="36"/>
  <c r="G36" i="36"/>
  <c r="H36" i="36"/>
  <c r="I36" i="36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G33" i="36" l="1"/>
  <c r="G34" i="36" s="1"/>
  <c r="G39" i="36" s="1"/>
  <c r="F33" i="36"/>
  <c r="E33" i="36"/>
  <c r="E34" i="36" s="1"/>
  <c r="E39" i="36" s="1"/>
  <c r="D33" i="36"/>
  <c r="D34" i="36" s="1"/>
  <c r="D39" i="36" s="1"/>
  <c r="I33" i="36"/>
  <c r="I34" i="36" s="1"/>
  <c r="H33" i="36"/>
  <c r="H34" i="36" s="1"/>
  <c r="C34" i="36"/>
  <c r="C39" i="36" s="1"/>
  <c r="J34" i="36"/>
  <c r="J39" i="36" s="1"/>
  <c r="B34" i="36"/>
  <c r="B39" i="36"/>
  <c r="K34" i="36"/>
  <c r="K39" i="36"/>
  <c r="E18" i="36"/>
  <c r="F34" i="36" l="1"/>
  <c r="F39" i="36" s="1"/>
  <c r="I39" i="36"/>
  <c r="H39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<sst xmlns="http://schemas.openxmlformats.org/spreadsheetml/2006/main" count="78" uniqueCount="72">
  <si>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</si>
  <si>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</si>
  <si>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</si>
  <si>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</si>
  <si>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</si>
  <si>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</si>
  <si>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</si>
  <si>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</si>
  <si>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</si>
  <si>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</si>
  <si>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</si>
  <si>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</si>
  <si>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</si>
  <si>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</si>
  <si>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</si>
  <si>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</si>
  <si>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</si>
  <si>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</si>
  <si>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</si>
  <si>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</si>
  <si>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</si>
  <si>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</si>
  <si>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</si>
  <si>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</si>
  <si>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</si>
  <si>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</si>
  <si>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</si>
  <si>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</si>
  <si>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</si>
  <si>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</si>
  <si>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</si>
  <si>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</si>
  <si>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</si>
  <si>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</si>
  <si>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</si>
  <si>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</si>
  <si>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</si>
  <si>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</si>
  <si>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</si>
  <si>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</si>
  <si>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</si>
  <si>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</si>
  <si>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</si>
  <si>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</si>
  <si>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</si>
  <si>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</si>
  <si>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</si>
  <si>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</si>
  <si>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</si>
  <si>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</si>
  <si>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</si>
  <si>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</si>
  <si>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</si>
  <si>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</si>
  <si>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</si>
  <si>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</si>
  <si>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</si>
  <si>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</si>
  <si>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</si>
  <si>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</si>
  <si>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</si>
  <si>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</si>
  <si>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2018</t>
  </si>
  <si>
    <t>Floway</t>
  </si>
  <si>
    <t>No. of Stages:</t>
  </si>
  <si>
    <t>Impeller Trim:</t>
  </si>
  <si>
    <t>http://localhost:3000/InsertPumpTest</t>
  </si>
  <si>
    <t>Failed Test Inserts</t>
  </si>
  <si>
    <t>22BLK</t>
  </si>
  <si>
    <t>78639-1-3</t>
  </si>
  <si>
    <t>[]</t>
  </si>
  <si>
    <t>2015-8-30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</si>
</sst>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0" fillId="0" borderId="0" xfId="3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/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0/InsertPumpTes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topLeftCell="A4" zoomScale="85" zoomScaleNormal="85" workbookViewId="0">
      <selection activeCell="P22" sqref="P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59</v>
      </c>
      <c r="C1" s="68">
        <v>1</v>
      </c>
      <c r="D1" s="4"/>
      <c r="E1" s="4"/>
      <c r="G1" s="4"/>
      <c r="H1" s="80" t="s">
        <v>11</v>
      </c>
      <c r="I1" s="81"/>
      <c r="J1" s="81"/>
      <c r="K1" s="82"/>
      <c r="M1" s="80" t="str">
        <f>B18&amp;" "&amp;B19&amp;" Transposed for Model Use"</f>
        <v>Test Pump Curve 2015-8-30 Transposed for Model Use</v>
      </c>
      <c r="N1" s="81"/>
      <c r="O1" s="81"/>
      <c r="P1" s="82"/>
    </row>
    <row r="2" spans="1:19" ht="16.5" thickBot="1" x14ac:dyDescent="0.3">
      <c r="A2" s="6"/>
      <c r="B2" s="14"/>
      <c r="D2" s="8" t="s">
        <v>17</v>
      </c>
      <c r="E2" s="13" t="s">
        <v>63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2" t="s">
        <v>13</v>
      </c>
      <c r="B3" s="73"/>
      <c r="D3" s="9" t="s">
        <v>19</v>
      </c>
      <c r="E3" s="66" t="s">
        <v>68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61</v>
      </c>
      <c r="E4" s="65" t="s">
        <v>69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>
        <f t="shared" si="1"/>
        <v>313.18280000000004</v>
      </c>
      <c r="O4" s="32">
        <f t="shared" si="1"/>
        <v>0</v>
      </c>
      <c r="P4" s="48">
        <f t="shared" si="1"/>
        <v>0</v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62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>
        <f t="shared" si="1"/>
        <v>313.18280000000004</v>
      </c>
      <c r="O5" s="32">
        <f t="shared" si="1"/>
        <v>0</v>
      </c>
      <c r="P5" s="48">
        <f t="shared" si="1"/>
        <v>0</v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>
        <f t="shared" si="1"/>
        <v>313.18280000000004</v>
      </c>
      <c r="O6" s="32">
        <f t="shared" si="1"/>
        <v>0</v>
      </c>
      <c r="P6" s="48">
        <f t="shared" si="1"/>
        <v>0</v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>
        <f t="shared" si="1"/>
        <v>313.18280000000004</v>
      </c>
      <c r="O7" s="32">
        <f t="shared" si="1"/>
        <v>0</v>
      </c>
      <c r="P7" s="48">
        <f t="shared" si="1"/>
        <v>0</v>
      </c>
      <c r="Q7" s="59"/>
    </row>
    <row r="8" spans="1:19" s="15" customFormat="1" ht="15" customHeight="1" x14ac:dyDescent="0.25">
      <c r="A8" s="72" t="s">
        <v>55</v>
      </c>
      <c r="B8" s="73"/>
      <c r="D8" s="9" t="s">
        <v>22</v>
      </c>
      <c r="E8" s="36" t="s">
        <v>62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>
        <f t="shared" si="1"/>
        <v>313.18280000000004</v>
      </c>
      <c r="O8" s="32">
        <f t="shared" si="1"/>
        <v>0</v>
      </c>
      <c r="P8" s="48">
        <f t="shared" si="1"/>
        <v>0</v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>
        <f t="shared" si="1"/>
        <v>313.18280000000004</v>
      </c>
      <c r="O9" s="32">
        <f t="shared" si="1"/>
        <v>0</v>
      </c>
      <c r="P9" s="48">
        <f t="shared" si="1"/>
        <v>0</v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>
        <f t="shared" si="1"/>
        <v>313.18280000000004</v>
      </c>
      <c r="O10" s="32">
        <f t="shared" si="1"/>
        <v>0</v>
      </c>
      <c r="P10" s="48">
        <f t="shared" si="1"/>
        <v>0</v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>
        <f t="shared" si="1"/>
        <v>313.18280000000004</v>
      </c>
      <c r="O11" s="32">
        <f t="shared" si="1"/>
        <v>0</v>
      </c>
      <c r="P11" s="48">
        <f t="shared" si="1"/>
        <v>0</v>
      </c>
    </row>
    <row r="12" spans="1:19" ht="15.75" thickBot="1" x14ac:dyDescent="0.3">
      <c r="A12" s="56" t="s">
        <v>32</v>
      </c>
      <c r="B12" s="35" t="s">
        <v>60</v>
      </c>
      <c r="D12" s="58" t="s">
        <v>64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>
        <f t="shared" si="1"/>
        <v>313.18280000000004</v>
      </c>
      <c r="O12" s="51">
        <f t="shared" si="1"/>
        <v>0</v>
      </c>
      <c r="P12" s="52">
        <f t="shared" si="1"/>
        <v>0</v>
      </c>
    </row>
    <row r="13" spans="1:19" x14ac:dyDescent="0.25">
      <c r="C13" s="21"/>
      <c r="D13" s="58" t="s">
        <v>65</v>
      </c>
      <c r="E13" s="13"/>
      <c r="G13" s="21"/>
    </row>
    <row r="16" spans="1:19" x14ac:dyDescent="0.25">
      <c r="C16" s="21"/>
      <c r="D16" s="74" t="s">
        <v>58</v>
      </c>
      <c r="E16" s="75"/>
      <c r="G16" s="21"/>
      <c r="J16" s="38" t="s">
        <v>52</v>
      </c>
      <c r="K16" s="33"/>
      <c r="N16" s="71"/>
      <c r="O16" s="70"/>
      <c r="P16" s="70"/>
      <c r="Q16" s="70"/>
      <c r="R16" s="69"/>
      <c r="S16" s="69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84"/>
      <c r="O17" s="84"/>
      <c r="P17" s="84"/>
      <c r="Q17" s="84"/>
      <c r="R17" s="69"/>
      <c r="S17" s="69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71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1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>
        <v>100</v>
      </c>
      <c r="D22" s="61">
        <v>100</v>
      </c>
      <c r="E22" s="61">
        <v>100</v>
      </c>
      <c r="F22" s="61">
        <v>100</v>
      </c>
      <c r="G22" s="61">
        <v>100</v>
      </c>
      <c r="H22" s="61">
        <v>100</v>
      </c>
      <c r="I22" s="61">
        <v>100</v>
      </c>
      <c r="J22" s="61">
        <v>100</v>
      </c>
      <c r="K22" s="61">
        <v>100</v>
      </c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>
        <v>23.05</v>
      </c>
      <c r="D23" s="62">
        <v>23.05</v>
      </c>
      <c r="E23" s="62">
        <v>23.05</v>
      </c>
      <c r="F23" s="62">
        <v>23.05</v>
      </c>
      <c r="G23" s="62">
        <v>23.05</v>
      </c>
      <c r="H23" s="62">
        <v>23.05</v>
      </c>
      <c r="I23" s="62">
        <v>23.05</v>
      </c>
      <c r="J23" s="62">
        <v>23.05</v>
      </c>
      <c r="K23" s="62">
        <v>23.05</v>
      </c>
      <c r="L23" s="7"/>
    </row>
    <row r="24" spans="1:26" x14ac:dyDescent="0.25">
      <c r="A24" s="3" t="s">
        <v>44</v>
      </c>
      <c r="B24" s="64">
        <v>133.21766233766235</v>
      </c>
      <c r="C24" s="64">
        <v>133.21766233766235</v>
      </c>
      <c r="D24" s="64">
        <v>133.21766233766235</v>
      </c>
      <c r="E24" s="64">
        <v>133.21766233766235</v>
      </c>
      <c r="F24" s="64">
        <v>133.21766233766235</v>
      </c>
      <c r="G24" s="64">
        <v>133.21766233766235</v>
      </c>
      <c r="H24" s="64">
        <v>133.21766233766235</v>
      </c>
      <c r="I24" s="64">
        <v>133.21766233766235</v>
      </c>
      <c r="J24" s="64">
        <v>133.21766233766235</v>
      </c>
      <c r="K24" s="64">
        <v>133.21766233766235</v>
      </c>
      <c r="O24" s="76" t="s">
        <v>66</v>
      </c>
      <c r="P24" s="76"/>
      <c r="Q24" s="76"/>
      <c r="R24" s="76"/>
      <c r="S24" s="76"/>
      <c r="T24" s="76"/>
    </row>
    <row r="25" spans="1:26" x14ac:dyDescent="0.25">
      <c r="A25" s="3" t="s">
        <v>47</v>
      </c>
      <c r="B25" s="61">
        <v>58.5</v>
      </c>
      <c r="C25" s="61">
        <v>58.5</v>
      </c>
      <c r="D25" s="61">
        <v>58.5</v>
      </c>
      <c r="E25" s="61">
        <v>58.5</v>
      </c>
      <c r="F25" s="61">
        <v>58.5</v>
      </c>
      <c r="G25" s="61">
        <v>58.5</v>
      </c>
      <c r="H25" s="61">
        <v>58.5</v>
      </c>
      <c r="I25" s="61">
        <v>58.5</v>
      </c>
      <c r="J25" s="61">
        <v>58.5</v>
      </c>
      <c r="K25" s="61">
        <v>58.5</v>
      </c>
      <c r="O25" s="83" t="s">
        <v>70</v>
      </c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</row>
    <row r="26" spans="1:26" x14ac:dyDescent="0.25">
      <c r="A26" s="3" t="s">
        <v>3</v>
      </c>
      <c r="B26" s="63">
        <v>0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0</v>
      </c>
      <c r="I26" s="63">
        <v>0</v>
      </c>
      <c r="J26" s="63">
        <v>0</v>
      </c>
      <c r="K26" s="63">
        <v>0</v>
      </c>
      <c r="M26" s="79" t="s">
        <v>67</v>
      </c>
      <c r="N26" s="79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</row>
    <row r="27" spans="1:26" x14ac:dyDescent="0.25">
      <c r="A27" s="3" t="s">
        <v>33</v>
      </c>
      <c r="B27" s="61">
        <v>59</v>
      </c>
      <c r="C27" s="61">
        <v>59</v>
      </c>
      <c r="D27" s="61">
        <v>59</v>
      </c>
      <c r="E27" s="61">
        <v>59</v>
      </c>
      <c r="F27" s="61">
        <v>59</v>
      </c>
      <c r="G27" s="61">
        <v>59</v>
      </c>
      <c r="H27" s="61">
        <v>59</v>
      </c>
      <c r="I27" s="61">
        <v>59</v>
      </c>
      <c r="J27" s="61">
        <v>59</v>
      </c>
      <c r="K27" s="61">
        <v>59</v>
      </c>
      <c r="M27" s="79"/>
      <c r="N27" s="79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</row>
    <row r="28" spans="1:26" x14ac:dyDescent="0.25">
      <c r="A28" s="3" t="s">
        <v>34</v>
      </c>
      <c r="B28" s="61">
        <v>59</v>
      </c>
      <c r="C28" s="61">
        <v>59</v>
      </c>
      <c r="D28" s="61">
        <v>59</v>
      </c>
      <c r="E28" s="61">
        <v>59</v>
      </c>
      <c r="F28" s="61">
        <v>59</v>
      </c>
      <c r="G28" s="61">
        <v>59</v>
      </c>
      <c r="H28" s="61">
        <v>59</v>
      </c>
      <c r="I28" s="61">
        <v>59</v>
      </c>
      <c r="J28" s="61">
        <v>59</v>
      </c>
      <c r="K28" s="61">
        <v>59</v>
      </c>
      <c r="M28" s="69"/>
      <c r="N28" s="69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</row>
    <row r="29" spans="1:26" x14ac:dyDescent="0.25">
      <c r="A29" s="3" t="s">
        <v>35</v>
      </c>
      <c r="B29" s="61">
        <v>59</v>
      </c>
      <c r="C29" s="61">
        <v>59</v>
      </c>
      <c r="D29" s="61">
        <v>59</v>
      </c>
      <c r="E29" s="61">
        <v>59</v>
      </c>
      <c r="F29" s="61">
        <v>59</v>
      </c>
      <c r="G29" s="61">
        <v>59</v>
      </c>
      <c r="H29" s="61">
        <v>59</v>
      </c>
      <c r="I29" s="61">
        <v>59</v>
      </c>
      <c r="J29" s="61">
        <v>59</v>
      </c>
      <c r="K29" s="61">
        <v>59</v>
      </c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</row>
    <row r="30" spans="1:26" x14ac:dyDescent="0.25">
      <c r="A30" s="3" t="s">
        <v>36</v>
      </c>
      <c r="B30" s="61">
        <v>4070</v>
      </c>
      <c r="C30" s="61">
        <v>4070</v>
      </c>
      <c r="D30" s="61">
        <v>4070</v>
      </c>
      <c r="E30" s="61">
        <v>4070</v>
      </c>
      <c r="F30" s="61">
        <v>4070</v>
      </c>
      <c r="G30" s="61">
        <v>4070</v>
      </c>
      <c r="H30" s="61">
        <v>4070</v>
      </c>
      <c r="I30" s="61">
        <v>4070</v>
      </c>
      <c r="J30" s="61">
        <v>4070</v>
      </c>
      <c r="K30" s="61">
        <v>4070</v>
      </c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</row>
    <row r="31" spans="1:26" x14ac:dyDescent="0.25">
      <c r="A31" s="3" t="s">
        <v>37</v>
      </c>
      <c r="B31" s="61">
        <v>4070</v>
      </c>
      <c r="C31" s="61">
        <v>4070</v>
      </c>
      <c r="D31" s="61">
        <v>4070</v>
      </c>
      <c r="E31" s="61">
        <v>4070</v>
      </c>
      <c r="F31" s="61">
        <v>4070</v>
      </c>
      <c r="G31" s="61">
        <v>4070</v>
      </c>
      <c r="H31" s="61">
        <v>4070</v>
      </c>
      <c r="I31" s="61">
        <v>4070</v>
      </c>
      <c r="J31" s="61">
        <v>4070</v>
      </c>
      <c r="K31" s="61">
        <v>4070</v>
      </c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</row>
    <row r="32" spans="1:26" x14ac:dyDescent="0.25">
      <c r="A32" s="3" t="s">
        <v>38</v>
      </c>
      <c r="B32" s="61">
        <v>4070</v>
      </c>
      <c r="C32" s="61">
        <v>4070</v>
      </c>
      <c r="D32" s="61">
        <v>4070</v>
      </c>
      <c r="E32" s="61">
        <v>4070</v>
      </c>
      <c r="F32" s="61">
        <v>4070</v>
      </c>
      <c r="G32" s="61">
        <v>4070</v>
      </c>
      <c r="H32" s="61">
        <v>4070</v>
      </c>
      <c r="I32" s="61">
        <v>4070</v>
      </c>
      <c r="J32" s="61">
        <v>4070</v>
      </c>
      <c r="K32" s="61">
        <v>4070</v>
      </c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>
        <f t="shared" si="3"/>
        <v>332.72412799999995</v>
      </c>
      <c r="D33" s="18">
        <f t="shared" si="3"/>
        <v>332.72412799999995</v>
      </c>
      <c r="E33" s="18">
        <f t="shared" si="3"/>
        <v>332.72412799999995</v>
      </c>
      <c r="F33" s="18">
        <f t="shared" si="3"/>
        <v>332.72412799999995</v>
      </c>
      <c r="G33" s="18">
        <f t="shared" si="3"/>
        <v>332.72412799999995</v>
      </c>
      <c r="H33" s="18">
        <f t="shared" si="3"/>
        <v>332.72412799999995</v>
      </c>
      <c r="I33" s="18">
        <f t="shared" si="3"/>
        <v>332.72412799999995</v>
      </c>
      <c r="J33" s="18">
        <f t="shared" si="3"/>
        <v>332.72412799999995</v>
      </c>
      <c r="K33" s="18">
        <f t="shared" si="3"/>
        <v>332.72412799999995</v>
      </c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</row>
    <row r="34" spans="1:26" x14ac:dyDescent="0.25">
      <c r="A34" s="3" t="s">
        <v>7</v>
      </c>
      <c r="B34" s="19">
        <f>IF(B33&lt;&gt;"",1.341*B33,"")</f>
        <v>446.18305564799994</v>
      </c>
      <c r="C34" s="19">
        <f t="shared" ref="C34:K34" si="4">IF(C33&lt;&gt;"",1.341*C33,"")</f>
        <v>446.18305564799994</v>
      </c>
      <c r="D34" s="19">
        <f t="shared" si="4"/>
        <v>446.18305564799994</v>
      </c>
      <c r="E34" s="19">
        <f t="shared" si="4"/>
        <v>446.18305564799994</v>
      </c>
      <c r="F34" s="19">
        <f t="shared" si="4"/>
        <v>446.18305564799994</v>
      </c>
      <c r="G34" s="19">
        <f t="shared" si="4"/>
        <v>446.18305564799994</v>
      </c>
      <c r="H34" s="19">
        <f t="shared" si="4"/>
        <v>446.18305564799994</v>
      </c>
      <c r="I34" s="19">
        <f t="shared" si="4"/>
        <v>446.18305564799994</v>
      </c>
      <c r="J34" s="19">
        <f t="shared" si="4"/>
        <v>446.18305564799994</v>
      </c>
      <c r="K34" s="19">
        <f t="shared" si="4"/>
        <v>446.18305564799994</v>
      </c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</row>
    <row r="35" spans="1:26" x14ac:dyDescent="0.25">
      <c r="A35" s="3" t="str">
        <f>"Ave. Amps "  &amp; B19</f>
        <v>Ave. Amps 2015-8-30</v>
      </c>
      <c r="B35" s="19">
        <f>IF(B27&lt;&gt;"",AVERAGE(B27:B29),"")</f>
        <v>59</v>
      </c>
      <c r="C35" s="19">
        <f t="shared" ref="C35:K35" si="5">IF(C27&lt;&gt;"",AVERAGE(C27:C29),"")</f>
        <v>59</v>
      </c>
      <c r="D35" s="19">
        <f t="shared" si="5"/>
        <v>59</v>
      </c>
      <c r="E35" s="19">
        <f t="shared" si="5"/>
        <v>59</v>
      </c>
      <c r="F35" s="19">
        <f t="shared" si="5"/>
        <v>59</v>
      </c>
      <c r="G35" s="19">
        <f t="shared" si="5"/>
        <v>59</v>
      </c>
      <c r="H35" s="19">
        <f t="shared" si="5"/>
        <v>59</v>
      </c>
      <c r="I35" s="19">
        <f t="shared" si="5"/>
        <v>59</v>
      </c>
      <c r="J35" s="19">
        <f t="shared" si="5"/>
        <v>59</v>
      </c>
      <c r="K35" s="19">
        <f t="shared" si="5"/>
        <v>59</v>
      </c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</row>
    <row r="36" spans="1:26" x14ac:dyDescent="0.25">
      <c r="A36" s="24" t="str">
        <f>"Ave. Volts "&amp; B19</f>
        <v>Ave. Volts 2015-8-30</v>
      </c>
      <c r="B36" s="23">
        <f>IF(ISERR(AVERAGE(B30:B32))=FALSE,AVERAGE(B30:B32),"")</f>
        <v>4070</v>
      </c>
      <c r="C36" s="23">
        <f t="shared" ref="C36:K36" si="6">IF(ISERR(AVERAGE(C30:C32))=FALSE,AVERAGE(C30:C32),"")</f>
        <v>4070</v>
      </c>
      <c r="D36" s="23">
        <f t="shared" si="6"/>
        <v>4070</v>
      </c>
      <c r="E36" s="23">
        <f>IF(ISERR(AVERAGE(E30:E32))=FALSE,AVERAGE(E30:E32),"")</f>
        <v>4070</v>
      </c>
      <c r="F36" s="23">
        <f t="shared" si="6"/>
        <v>4070</v>
      </c>
      <c r="G36" s="23">
        <f t="shared" si="6"/>
        <v>4070</v>
      </c>
      <c r="H36" s="23">
        <f>IF(ISERR(AVERAGE(H30:H32))=FALSE,AVERAGE(H30:H32),"")</f>
        <v>4070</v>
      </c>
      <c r="I36" s="23">
        <f t="shared" si="6"/>
        <v>4070</v>
      </c>
      <c r="J36" s="23">
        <f t="shared" si="6"/>
        <v>4070</v>
      </c>
      <c r="K36" s="23">
        <f t="shared" si="6"/>
        <v>4070</v>
      </c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>
        <f t="shared" si="7"/>
        <v>313.18280000000004</v>
      </c>
      <c r="D37" s="18">
        <f t="shared" si="7"/>
        <v>313.18280000000004</v>
      </c>
      <c r="E37" s="18">
        <f t="shared" si="7"/>
        <v>313.18280000000004</v>
      </c>
      <c r="F37" s="18">
        <f t="shared" si="7"/>
        <v>313.18280000000004</v>
      </c>
      <c r="G37" s="18">
        <f t="shared" si="7"/>
        <v>313.18280000000004</v>
      </c>
      <c r="H37" s="18">
        <f t="shared" si="7"/>
        <v>313.18280000000004</v>
      </c>
      <c r="I37" s="18">
        <f t="shared" si="7"/>
        <v>313.18280000000004</v>
      </c>
      <c r="J37" s="18">
        <f t="shared" si="7"/>
        <v>313.18280000000004</v>
      </c>
      <c r="K37" s="18">
        <f t="shared" si="7"/>
        <v>313.18280000000004</v>
      </c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>
        <f t="shared" si="8"/>
        <v>0</v>
      </c>
      <c r="D38" s="19">
        <f t="shared" si="8"/>
        <v>0</v>
      </c>
      <c r="E38" s="19">
        <f t="shared" si="8"/>
        <v>0</v>
      </c>
      <c r="F38" s="19">
        <f t="shared" si="8"/>
        <v>0</v>
      </c>
      <c r="G38" s="19">
        <f t="shared" si="8"/>
        <v>0</v>
      </c>
      <c r="H38" s="19">
        <f t="shared" si="8"/>
        <v>0</v>
      </c>
      <c r="I38" s="19">
        <f t="shared" si="8"/>
        <v>0</v>
      </c>
      <c r="J38" s="19">
        <f t="shared" si="8"/>
        <v>0</v>
      </c>
      <c r="K38" s="19">
        <f t="shared" si="8"/>
        <v>0</v>
      </c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</row>
    <row r="39" spans="1:26" x14ac:dyDescent="0.25">
      <c r="A39" s="3" t="s">
        <v>8</v>
      </c>
      <c r="B39" s="20">
        <f>IF(B33&lt;&gt;"",B37*B38/3960/B34,"")</f>
        <v>0</v>
      </c>
      <c r="C39" s="20">
        <f t="shared" ref="C39:K39" si="9">IF(C33&lt;&gt;"",C37*C38/3960/C34,"")</f>
        <v>0</v>
      </c>
      <c r="D39" s="20">
        <f t="shared" si="9"/>
        <v>0</v>
      </c>
      <c r="E39" s="20">
        <f t="shared" si="9"/>
        <v>0</v>
      </c>
      <c r="F39" s="20">
        <f t="shared" si="9"/>
        <v>0</v>
      </c>
      <c r="G39" s="20">
        <f t="shared" si="9"/>
        <v>0</v>
      </c>
      <c r="H39" s="20">
        <f t="shared" si="9"/>
        <v>0</v>
      </c>
      <c r="I39" s="20">
        <f t="shared" si="9"/>
        <v>0</v>
      </c>
      <c r="J39" s="20">
        <f t="shared" si="9"/>
        <v>0</v>
      </c>
      <c r="K39" s="20">
        <f t="shared" si="9"/>
        <v>0</v>
      </c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</row>
    <row r="40" spans="1:26" x14ac:dyDescent="0.25">
      <c r="B40" s="22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</row>
    <row r="42" spans="1:26" x14ac:dyDescent="0.25">
      <c r="N42" s="78"/>
      <c r="O42" s="78"/>
    </row>
    <row r="43" spans="1:26" x14ac:dyDescent="0.25">
      <c r="N43" s="77"/>
      <c r="O43" s="77"/>
    </row>
    <row r="44" spans="1:26" x14ac:dyDescent="0.25">
      <c r="N44" s="77"/>
      <c r="O44" s="77"/>
    </row>
    <row r="45" spans="1:26" x14ac:dyDescent="0.25">
      <c r="N45" s="77"/>
      <c r="O45" s="77"/>
    </row>
    <row r="46" spans="1:26" x14ac:dyDescent="0.25">
      <c r="N46" s="77"/>
      <c r="O46" s="77"/>
    </row>
    <row r="47" spans="1:26" x14ac:dyDescent="0.25">
      <c r="N47" s="77"/>
      <c r="O47" s="77"/>
    </row>
    <row r="48" spans="1:26" x14ac:dyDescent="0.25">
      <c r="N48" s="77"/>
      <c r="O48" s="77"/>
    </row>
    <row r="49" spans="14:15" x14ac:dyDescent="0.25">
      <c r="N49" s="77"/>
      <c r="O49" s="77"/>
    </row>
    <row r="50" spans="14:15" x14ac:dyDescent="0.25">
      <c r="N50" s="77"/>
      <c r="O50" s="77"/>
    </row>
    <row r="51" spans="14:15" x14ac:dyDescent="0.25">
      <c r="N51" s="77"/>
      <c r="O51" s="77"/>
    </row>
    <row r="52" spans="14:15" x14ac:dyDescent="0.25">
      <c r="N52" s="77"/>
      <c r="O52" s="77"/>
    </row>
  </sheetData>
  <sheetProtection selectLockedCells="1"/>
  <dataConsolidate/>
  <mergeCells count="20">
    <mergeCell ref="M27:N27"/>
    <mergeCell ref="H1:K1"/>
    <mergeCell ref="M1:P1"/>
    <mergeCell ref="O25:Z40"/>
    <mergeCell ref="O24:T24"/>
    <mergeCell ref="A3:B3"/>
    <mergeCell ref="A8:B8"/>
    <mergeCell ref="D16:E16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O24" r:id="rId1" xr:uid="{2D73A58E-F391-4CCE-898C-D0A937103D69}"/>
  </hyperlinks>
  <pageMargins left="0.47" right="0.34" top="0.28999999999999998" bottom="0.17" header="0.26" footer="0.17"/>
  <pageSetup scale="9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remoteURL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2018-07-23T16:22:59Z</dcterms:modified>
</cp:coreProperties>
</file>