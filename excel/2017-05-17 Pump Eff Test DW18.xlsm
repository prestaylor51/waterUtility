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/>
  <workbookPr defaultThemeVersion="124226"/>
  <mc:AlternateContent xmlns:mc="http://schemas.openxmlformats.org/markup-compatibility/2006">
    <mc:Choice Requires="x15">
      <x15ac:absPath xmlns:x15ac="http://schemas.microsoft.com/office/spreadsheetml/2010/11/ac" url="I:\Water Pumping-Storage-Distribution\Desert Well Zone Well Pump Efficiency Test\DW18\"/>
    </mc:Choice>
  </mc:AlternateContent>
  <bookViews>
    <workbookView xWindow="1860" yWindow="1440" windowWidth="22245" windowHeight="12300" tabRatio="926"/>
  </bookViews>
  <sheets>
    <sheet name="DW18" sheetId="29" r:id="rId1"/>
  </sheets>
  <definedNames>
    <definedName name="_xlnm.Print_Area" localSheetId="0">'DW18'!$A$1:$N$44</definedName>
  </definedNames>
  <calcPr calcId="171027"/>
</workbook>
</file>

<file path=xl/calcChain.xml><?xml version="1.0" encoding="utf-8"?>
<calcChain xmlns="http://schemas.openxmlformats.org/spreadsheetml/2006/main">
  <c r="R3" i="29" l="1"/>
  <c r="C43" i="29" l="1"/>
  <c r="D43" i="29"/>
  <c r="E43" i="29"/>
  <c r="F43" i="29"/>
  <c r="G43" i="29"/>
  <c r="H43" i="29"/>
  <c r="I43" i="29"/>
  <c r="J43" i="29"/>
  <c r="K43" i="29"/>
  <c r="B43" i="29"/>
  <c r="C35" i="29" l="1"/>
  <c r="D35" i="29"/>
  <c r="E35" i="29"/>
  <c r="F35" i="29"/>
  <c r="G35" i="29"/>
  <c r="H35" i="29"/>
  <c r="I35" i="29"/>
  <c r="I46" i="29" s="1"/>
  <c r="J35" i="29"/>
  <c r="K35" i="29"/>
  <c r="G46" i="29"/>
  <c r="H46" i="29"/>
  <c r="J46" i="29"/>
  <c r="K46" i="29"/>
  <c r="B35" i="29"/>
  <c r="B41" i="29"/>
  <c r="B36" i="29" s="1"/>
  <c r="B37" i="29" s="1"/>
  <c r="B40" i="29"/>
  <c r="E39" i="29"/>
  <c r="B44" i="29"/>
  <c r="B48" i="29" s="1"/>
  <c r="C38" i="29"/>
  <c r="C39" i="29" s="1"/>
  <c r="D38" i="29"/>
  <c r="D39" i="29" s="1"/>
  <c r="E38" i="29"/>
  <c r="F38" i="29"/>
  <c r="F39" i="29" s="1"/>
  <c r="B38" i="29"/>
  <c r="B39" i="29" s="1"/>
  <c r="B46" i="29" l="1"/>
  <c r="E13" i="29" l="1"/>
  <c r="C44" i="29"/>
  <c r="D44" i="29"/>
  <c r="E44" i="29"/>
  <c r="F44" i="29"/>
  <c r="G44" i="29"/>
  <c r="H44" i="29"/>
  <c r="I44" i="29"/>
  <c r="J44" i="29"/>
  <c r="K44" i="29"/>
  <c r="D48" i="29" l="1"/>
  <c r="D46" i="29"/>
  <c r="E48" i="29"/>
  <c r="E46" i="29"/>
  <c r="C48" i="29"/>
  <c r="C46" i="29"/>
  <c r="F46" i="29"/>
  <c r="F48" i="29"/>
  <c r="B49" i="29"/>
  <c r="G49" i="29"/>
  <c r="H49" i="29"/>
  <c r="I49" i="29"/>
  <c r="J49" i="29"/>
  <c r="K49" i="29"/>
  <c r="B42" i="29" l="1"/>
  <c r="C49" i="29" l="1"/>
  <c r="D49" i="29"/>
  <c r="E49" i="29"/>
  <c r="F49" i="29"/>
  <c r="I13" i="29" l="1"/>
  <c r="I14" i="29"/>
  <c r="C40" i="29" l="1"/>
  <c r="D40" i="29"/>
  <c r="E40" i="29"/>
  <c r="F40" i="29"/>
  <c r="G40" i="29"/>
  <c r="H40" i="29"/>
  <c r="I40" i="29"/>
  <c r="J40" i="29"/>
  <c r="K40" i="29"/>
  <c r="C41" i="29"/>
  <c r="C36" i="29" s="1"/>
  <c r="D41" i="29"/>
  <c r="D36" i="29" s="1"/>
  <c r="E41" i="29"/>
  <c r="F41" i="29"/>
  <c r="F36" i="29" s="1"/>
  <c r="G41" i="29"/>
  <c r="H41" i="29"/>
  <c r="H36" i="29" s="1"/>
  <c r="I41" i="29"/>
  <c r="I36" i="29" s="1"/>
  <c r="J41" i="29"/>
  <c r="J36" i="29" s="1"/>
  <c r="K41" i="29"/>
  <c r="C42" i="29"/>
  <c r="D42" i="29"/>
  <c r="E42" i="29"/>
  <c r="F42" i="29"/>
  <c r="G42" i="29"/>
  <c r="H42" i="29"/>
  <c r="I42" i="29"/>
  <c r="J42" i="29"/>
  <c r="K42" i="29"/>
  <c r="C45" i="29"/>
  <c r="D45" i="29"/>
  <c r="E45" i="29"/>
  <c r="F45" i="29"/>
  <c r="G45" i="29"/>
  <c r="H45" i="29"/>
  <c r="I45" i="29"/>
  <c r="J45" i="29"/>
  <c r="K45" i="29"/>
  <c r="E36" i="29" l="1"/>
  <c r="K36" i="29"/>
  <c r="K37" i="29" s="1"/>
  <c r="G36" i="29"/>
  <c r="G37" i="29" s="1"/>
  <c r="I37" i="29"/>
  <c r="J47" i="29"/>
  <c r="F37" i="29"/>
  <c r="C37" i="29"/>
  <c r="D37" i="29"/>
  <c r="D47" i="29" s="1"/>
  <c r="H47" i="29"/>
  <c r="H37" i="29"/>
  <c r="G47" i="29"/>
  <c r="K47" i="29" l="1"/>
  <c r="I47" i="29"/>
  <c r="J37" i="29"/>
  <c r="C47" i="29"/>
  <c r="F47" i="29"/>
  <c r="E37" i="29"/>
  <c r="E47" i="29" s="1"/>
  <c r="B45" i="29"/>
  <c r="I4" i="29" l="1"/>
  <c r="I5" i="29"/>
  <c r="I6" i="29"/>
  <c r="I7" i="29"/>
  <c r="I8" i="29"/>
  <c r="I9" i="29"/>
  <c r="I10" i="29"/>
  <c r="I11" i="29"/>
  <c r="I12" i="29"/>
  <c r="I3" i="29"/>
  <c r="B47" i="29" l="1"/>
  <c r="B15" i="29"/>
  <c r="B3" i="29" l="1"/>
  <c r="O1" i="29"/>
  <c r="Q6" i="29" l="1"/>
  <c r="Q7" i="29"/>
  <c r="Q12" i="29"/>
  <c r="Q11" i="29"/>
  <c r="Q9" i="29"/>
  <c r="Q5" i="29"/>
  <c r="Q4" i="29"/>
  <c r="Q3" i="29"/>
  <c r="Q8" i="29"/>
  <c r="Q10" i="29"/>
  <c r="P3" i="29"/>
  <c r="P4" i="29"/>
  <c r="P5" i="29"/>
  <c r="P6" i="29"/>
  <c r="P7" i="29"/>
  <c r="P10" i="29"/>
  <c r="P11" i="29"/>
  <c r="P12" i="29"/>
  <c r="P8" i="29" l="1"/>
  <c r="P9" i="29"/>
  <c r="R12" i="29" l="1"/>
  <c r="R8" i="29"/>
  <c r="R6" i="29"/>
  <c r="R10" i="29"/>
  <c r="R5" i="29"/>
  <c r="R4" i="29" l="1"/>
  <c r="R11" i="29"/>
  <c r="R7" i="29"/>
  <c r="R9" i="29"/>
</calcChain>
</file>

<file path=xl/sharedStrings.xml><?xml version="1.0" encoding="utf-8"?>
<sst xmlns="http://schemas.openxmlformats.org/spreadsheetml/2006/main" count="96" uniqueCount="92">
  <si>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</si>
  <si>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</si>
  <si>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</si>
  <si>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</si>
  <si>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</si>
  <si>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</si>
  <si>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</si>
  <si>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</si>
  <si>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</si>
  <si>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</si>
  <si>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</si>
  <si>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</si>
  <si>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</si>
  <si>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</si>
  <si>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</si>
  <si>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</si>
  <si>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</si>
  <si>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</si>
  <si>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</si>
  <si>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</si>
  <si>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</si>
  <si>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</si>
  <si>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</si>
  <si>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</si>
  <si>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</si>
  <si>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</si>
  <si>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</si>
  <si>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</si>
  <si>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</si>
  <si>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</si>
  <si>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</si>
  <si>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RPM:</t>
  </si>
  <si>
    <t>Test Pt 9</t>
  </si>
  <si>
    <t>Test Pt 10</t>
  </si>
  <si>
    <t>Pump Disch Hdr CL Elev (ft):</t>
  </si>
  <si>
    <t>Disch Press @ Header (psi):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</si>
  <si>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</si>
  <si>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</si>
  <si>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</si>
  <si>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</si>
  <si>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</si>
  <si>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</si>
  <si>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</si>
  <si>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</si>
  <si>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</si>
  <si>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RPM</t>
  </si>
  <si>
    <t>Drilled Static Level:</t>
  </si>
  <si>
    <t>Pumping Water Level:</t>
  </si>
  <si>
    <t>Static Water Level:</t>
  </si>
  <si>
    <t>Specific Capacity:</t>
  </si>
  <si>
    <t>Speed (RPM)</t>
  </si>
  <si>
    <t>Power (hp)</t>
  </si>
  <si>
    <t>Amps A:</t>
  </si>
  <si>
    <t>Amps B:</t>
  </si>
  <si>
    <t>Amps C:</t>
  </si>
  <si>
    <t>Volts AB:</t>
  </si>
  <si>
    <t>Volts AC:</t>
  </si>
  <si>
    <t>Volts BC:</t>
  </si>
  <si>
    <t>Discharge Flow (MGD):</t>
  </si>
  <si>
    <t>Drawdown:</t>
  </si>
  <si>
    <t>Column Length (ft):</t>
  </si>
  <si>
    <t>WELL / No:</t>
  </si>
  <si>
    <t>Flow Conversion Calculator</t>
  </si>
  <si>
    <t>Shaft Tube Size (in):</t>
  </si>
  <si>
    <t>Number of Stages:</t>
  </si>
  <si>
    <t>Column Size (in):</t>
  </si>
  <si>
    <t>Column Pipe C Factor:</t>
  </si>
  <si>
    <t>DW18</t>
  </si>
  <si>
    <t>1785</t>
  </si>
  <si>
    <t>Desert Wells</t>
  </si>
  <si>
    <t>11:00 am</t>
  </si>
  <si>
    <t>11:53</t>
  </si>
  <si>
    <t>12:15</t>
  </si>
  <si>
    <t>12:32</t>
  </si>
  <si>
    <t>426</t>
  </si>
  <si>
    <t>12:55</t>
  </si>
  <si>
    <t>KW from cabinet:</t>
  </si>
  <si>
    <t>2.19" Line Shaft HP Loss</t>
  </si>
  <si>
    <t>Column Pipe Friction Loss, ft:</t>
  </si>
  <si>
    <t>J11HC</t>
  </si>
  <si>
    <t>2017</t>
  </si>
  <si>
    <t>National</t>
  </si>
  <si>
    <t>Overall Pump Efficiency Cabinet:</t>
  </si>
  <si>
    <t>HP from cabinet:</t>
  </si>
  <si>
    <t>Specific Capacity, gpm/ft:</t>
  </si>
  <si>
    <t>Ave. Amps:</t>
  </si>
  <si>
    <t>Ave. Volts:</t>
  </si>
  <si>
    <t>Expected Flow, gpm:</t>
  </si>
  <si>
    <t>% of Expected Flow:</t>
  </si>
  <si>
    <t>Disch Press @ Pump Flg. (psi):</t>
  </si>
  <si>
    <t>Column Pipe Friction Loss, HP: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</si>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</sst>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#,##0.0"/>
    <numFmt numFmtId="166" formatCode="m/d/yyyy;@"/>
    <numFmt numFmtId="167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9" fontId="9" fillId="0" borderId="0" applyFont="0" applyFill="0" applyBorder="0" applyAlignment="0" applyProtection="0"/>
  </cellStyleXfs>
  <cellXfs count="86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2" borderId="1" xfId="0" applyFill="1" applyBorder="1" applyAlignment="1">
      <alignment horizontal="center"/>
    </xf>
    <xf numFmtId="164" fontId="7" fillId="3" borderId="1" xfId="0" applyNumberFormat="1" applyFont="1" applyFill="1" applyBorder="1" applyAlignment="1">
      <alignment horizontal="center"/>
    </xf>
    <xf numFmtId="3" fontId="7" fillId="3" borderId="1" xfId="0" applyNumberFormat="1" applyFont="1" applyFill="1" applyBorder="1" applyAlignment="1">
      <alignment horizontal="center"/>
    </xf>
    <xf numFmtId="9" fontId="7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3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quotePrefix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Fill="1" applyBorder="1" applyAlignment="1">
      <alignment horizontal="center"/>
    </xf>
    <xf numFmtId="1" fontId="0" fillId="2" borderId="1" xfId="0" applyNumberForma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4" borderId="1" xfId="0" applyFill="1" applyBorder="1"/>
    <xf numFmtId="0" fontId="1" fillId="4" borderId="3" xfId="0" applyFont="1" applyFill="1" applyBorder="1" applyAlignment="1">
      <alignment horizontal="center"/>
    </xf>
    <xf numFmtId="9" fontId="1" fillId="4" borderId="4" xfId="2" applyFont="1" applyFill="1" applyBorder="1" applyAlignment="1">
      <alignment horizontal="center"/>
    </xf>
    <xf numFmtId="1" fontId="1" fillId="4" borderId="4" xfId="2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9" fontId="1" fillId="4" borderId="7" xfId="2" applyFont="1" applyFill="1" applyBorder="1" applyAlignment="1">
      <alignment horizontal="center"/>
    </xf>
    <xf numFmtId="2" fontId="5" fillId="3" borderId="11" xfId="0" applyNumberFormat="1" applyFont="1" applyFill="1" applyBorder="1" applyAlignment="1">
      <alignment horizontal="center"/>
    </xf>
    <xf numFmtId="3" fontId="1" fillId="4" borderId="11" xfId="0" applyNumberFormat="1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/>
    </xf>
    <xf numFmtId="2" fontId="1" fillId="4" borderId="11" xfId="0" applyNumberFormat="1" applyFont="1" applyFill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0" fontId="2" fillId="0" borderId="0" xfId="0" applyFont="1" applyBorder="1" applyAlignment="1"/>
    <xf numFmtId="166" fontId="0" fillId="2" borderId="1" xfId="0" applyNumberFormat="1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2" fontId="5" fillId="3" borderId="6" xfId="0" applyNumberFormat="1" applyFont="1" applyFill="1" applyBorder="1" applyAlignment="1">
      <alignment horizontal="center"/>
    </xf>
    <xf numFmtId="1" fontId="1" fillId="4" borderId="7" xfId="2" applyNumberFormat="1" applyFont="1" applyFill="1" applyBorder="1" applyAlignment="1">
      <alignment horizontal="center"/>
    </xf>
    <xf numFmtId="164" fontId="0" fillId="0" borderId="0" xfId="0" applyNumberFormat="1"/>
    <xf numFmtId="9" fontId="0" fillId="0" borderId="0" xfId="2" applyFont="1"/>
    <xf numFmtId="1" fontId="1" fillId="4" borderId="1" xfId="0" applyNumberFormat="1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/>
    </xf>
    <xf numFmtId="2" fontId="7" fillId="3" borderId="1" xfId="0" applyNumberFormat="1" applyFont="1" applyFill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67" fontId="7" fillId="3" borderId="1" xfId="0" applyNumberFormat="1" applyFont="1" applyFill="1" applyBorder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493632853925404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'DW18'!$H$1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'DW18'!$J$3:$J$14</c:f>
              <c:numCache>
                <c:formatCode>General</c:formatCode>
                <c:ptCount val="12"/>
                <c:pt idx="0">
                  <c:v>0</c:v>
                </c:pt>
                <c:pt idx="1">
                  <c:v>198</c:v>
                </c:pt>
                <c:pt idx="2">
                  <c:v>395</c:v>
                </c:pt>
                <c:pt idx="3">
                  <c:v>593</c:v>
                </c:pt>
                <c:pt idx="4">
                  <c:v>695.9</c:v>
                </c:pt>
                <c:pt idx="5">
                  <c:v>791.3</c:v>
                </c:pt>
                <c:pt idx="6">
                  <c:v>896.1</c:v>
                </c:pt>
                <c:pt idx="7">
                  <c:v>943.2</c:v>
                </c:pt>
                <c:pt idx="8">
                  <c:v>988.7</c:v>
                </c:pt>
                <c:pt idx="9">
                  <c:v>1093.2</c:v>
                </c:pt>
                <c:pt idx="10">
                  <c:v>1194.9000000000001</c:v>
                </c:pt>
                <c:pt idx="11">
                  <c:v>1380.7</c:v>
                </c:pt>
              </c:numCache>
            </c:numRef>
          </c:xVal>
          <c:yVal>
            <c:numRef>
              <c:f>'DW18'!$H$3:$H$14</c:f>
              <c:numCache>
                <c:formatCode>General</c:formatCode>
                <c:ptCount val="12"/>
                <c:pt idx="0">
                  <c:v>1003.3</c:v>
                </c:pt>
                <c:pt idx="1">
                  <c:v>981.3</c:v>
                </c:pt>
                <c:pt idx="2">
                  <c:v>939</c:v>
                </c:pt>
                <c:pt idx="3">
                  <c:v>901.6</c:v>
                </c:pt>
                <c:pt idx="4">
                  <c:v>879.5</c:v>
                </c:pt>
                <c:pt idx="5">
                  <c:v>856.3</c:v>
                </c:pt>
                <c:pt idx="6">
                  <c:v>803.9</c:v>
                </c:pt>
                <c:pt idx="7">
                  <c:v>775.6</c:v>
                </c:pt>
                <c:pt idx="8">
                  <c:v>746.4</c:v>
                </c:pt>
                <c:pt idx="9">
                  <c:v>680.1</c:v>
                </c:pt>
                <c:pt idx="10">
                  <c:v>605.79999999999995</c:v>
                </c:pt>
                <c:pt idx="11">
                  <c:v>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8-4A19-AEDC-4C58BB313D8B}"/>
            </c:ext>
          </c:extLst>
        </c:ser>
        <c:ser>
          <c:idx val="2"/>
          <c:order val="1"/>
          <c:tx>
            <c:strRef>
              <c:f>'DW18'!$B$18:$B$19</c:f>
              <c:strCache>
                <c:ptCount val="2"/>
                <c:pt idx="0">
                  <c:v>Test Pump Curve</c:v>
                </c:pt>
                <c:pt idx="1">
                  <c:v>5/17/2017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'DW18'!$B$44:$K$44</c:f>
              <c:numCache>
                <c:formatCode>0.0</c:formatCode>
                <c:ptCount val="10"/>
                <c:pt idx="0">
                  <c:v>749.82259967764264</c:v>
                </c:pt>
                <c:pt idx="1">
                  <c:v>771.58221293329905</c:v>
                </c:pt>
                <c:pt idx="2">
                  <c:v>800.06291918543411</c:v>
                </c:pt>
                <c:pt idx="3">
                  <c:v>830.00152126708952</c:v>
                </c:pt>
                <c:pt idx="4">
                  <c:v>860.70416038010751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8-4A19-AEDC-4C58BB313D8B}"/>
            </c:ext>
          </c:extLst>
        </c:ser>
        <c:ser>
          <c:idx val="5"/>
          <c:order val="4"/>
          <c:tx>
            <c:strRef>
              <c:f>'DW18'!$A$2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'DW18'!$B$4</c:f>
              <c:numCache>
                <c:formatCode>#,##0</c:formatCode>
                <c:ptCount val="1"/>
                <c:pt idx="0">
                  <c:v>950</c:v>
                </c:pt>
              </c:numCache>
            </c:numRef>
          </c:xVal>
          <c:yVal>
            <c:numRef>
              <c:f>'DW18'!$B$5</c:f>
              <c:numCache>
                <c:formatCode>General</c:formatCode>
                <c:ptCount val="1"/>
                <c:pt idx="0">
                  <c:v>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91424"/>
        <c:axId val="168191816"/>
      </c:scatterChart>
      <c:scatterChart>
        <c:scatterStyle val="smoothMarker"/>
        <c:varyColors val="0"/>
        <c:ser>
          <c:idx val="3"/>
          <c:order val="2"/>
          <c:tx>
            <c:strRef>
              <c:f>'DW18'!$K$2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'DW18'!$J$3:$J$14</c:f>
              <c:numCache>
                <c:formatCode>General</c:formatCode>
                <c:ptCount val="12"/>
                <c:pt idx="0">
                  <c:v>0</c:v>
                </c:pt>
                <c:pt idx="1">
                  <c:v>198</c:v>
                </c:pt>
                <c:pt idx="2">
                  <c:v>395</c:v>
                </c:pt>
                <c:pt idx="3">
                  <c:v>593</c:v>
                </c:pt>
                <c:pt idx="4">
                  <c:v>695.9</c:v>
                </c:pt>
                <c:pt idx="5">
                  <c:v>791.3</c:v>
                </c:pt>
                <c:pt idx="6">
                  <c:v>896.1</c:v>
                </c:pt>
                <c:pt idx="7">
                  <c:v>943.2</c:v>
                </c:pt>
                <c:pt idx="8">
                  <c:v>988.7</c:v>
                </c:pt>
                <c:pt idx="9">
                  <c:v>1093.2</c:v>
                </c:pt>
                <c:pt idx="10">
                  <c:v>1194.9000000000001</c:v>
                </c:pt>
                <c:pt idx="11">
                  <c:v>1380.7</c:v>
                </c:pt>
              </c:numCache>
            </c:numRef>
          </c:xVal>
          <c:yVal>
            <c:numRef>
              <c:f>'DW18'!$K$3:$K$14</c:f>
              <c:numCache>
                <c:formatCode>0%</c:formatCode>
                <c:ptCount val="12"/>
                <c:pt idx="0">
                  <c:v>0</c:v>
                </c:pt>
                <c:pt idx="1">
                  <c:v>0.40899999999999997</c:v>
                </c:pt>
                <c:pt idx="2">
                  <c:v>0.67300000000000004</c:v>
                </c:pt>
                <c:pt idx="3">
                  <c:v>0.80200000000000005</c:v>
                </c:pt>
                <c:pt idx="4">
                  <c:v>0.84199999999999997</c:v>
                </c:pt>
                <c:pt idx="5">
                  <c:v>0.86699999999999999</c:v>
                </c:pt>
                <c:pt idx="6">
                  <c:v>0.873</c:v>
                </c:pt>
                <c:pt idx="7">
                  <c:v>0.86899999999999999</c:v>
                </c:pt>
                <c:pt idx="8">
                  <c:v>0.86199999999999999</c:v>
                </c:pt>
                <c:pt idx="9">
                  <c:v>0.83799999999999997</c:v>
                </c:pt>
                <c:pt idx="10">
                  <c:v>0.79100000000000004</c:v>
                </c:pt>
                <c:pt idx="11">
                  <c:v>0.64100000000000001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88-4A19-AEDC-4C58BB313D8B}"/>
            </c:ext>
          </c:extLst>
        </c:ser>
        <c:ser>
          <c:idx val="4"/>
          <c:order val="3"/>
          <c:tx>
            <c:strRef>
              <c:f>'DW18'!$A$47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'DW18'!$B$47:$K$47</c:f>
              <c:numCache>
                <c:formatCode>0%</c:formatCode>
                <c:ptCount val="10"/>
                <c:pt idx="0">
                  <c:v>0.75978390300512599</c:v>
                </c:pt>
                <c:pt idx="1">
                  <c:v>0.7557004759475765</c:v>
                </c:pt>
                <c:pt idx="2">
                  <c:v>0.7523464260897037</c:v>
                </c:pt>
                <c:pt idx="3">
                  <c:v>0.75485363992015309</c:v>
                </c:pt>
                <c:pt idx="4">
                  <c:v>0.74341341696890384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92600"/>
        <c:axId val="168192208"/>
      </c:scatterChart>
      <c:valAx>
        <c:axId val="168191424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168191816"/>
        <c:crosses val="autoZero"/>
        <c:crossBetween val="midCat"/>
      </c:valAx>
      <c:valAx>
        <c:axId val="168191816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191424"/>
        <c:crosses val="autoZero"/>
        <c:crossBetween val="midCat"/>
      </c:valAx>
      <c:valAx>
        <c:axId val="168192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68192600"/>
        <c:crosses val="max"/>
        <c:crossBetween val="midCat"/>
      </c:valAx>
      <c:valAx>
        <c:axId val="16819260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68192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6913298607544365"/>
          <c:y val="7.723586424151864E-2"/>
          <c:w val="0.11596787383198923"/>
          <c:h val="0.866846264666938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6096982409605163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'DW18'!$H$1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'DW18'!$J$3:$J$14</c:f>
              <c:numCache>
                <c:formatCode>General</c:formatCode>
                <c:ptCount val="12"/>
                <c:pt idx="0">
                  <c:v>0</c:v>
                </c:pt>
                <c:pt idx="1">
                  <c:v>198</c:v>
                </c:pt>
                <c:pt idx="2">
                  <c:v>395</c:v>
                </c:pt>
                <c:pt idx="3">
                  <c:v>593</c:v>
                </c:pt>
                <c:pt idx="4">
                  <c:v>695.9</c:v>
                </c:pt>
                <c:pt idx="5">
                  <c:v>791.3</c:v>
                </c:pt>
                <c:pt idx="6">
                  <c:v>896.1</c:v>
                </c:pt>
                <c:pt idx="7">
                  <c:v>943.2</c:v>
                </c:pt>
                <c:pt idx="8">
                  <c:v>988.7</c:v>
                </c:pt>
                <c:pt idx="9">
                  <c:v>1093.2</c:v>
                </c:pt>
                <c:pt idx="10">
                  <c:v>1194.9000000000001</c:v>
                </c:pt>
                <c:pt idx="11">
                  <c:v>1380.7</c:v>
                </c:pt>
              </c:numCache>
            </c:numRef>
          </c:xVal>
          <c:yVal>
            <c:numRef>
              <c:f>'DW18'!$H$3:$H$14</c:f>
              <c:numCache>
                <c:formatCode>General</c:formatCode>
                <c:ptCount val="12"/>
                <c:pt idx="0">
                  <c:v>1003.3</c:v>
                </c:pt>
                <c:pt idx="1">
                  <c:v>981.3</c:v>
                </c:pt>
                <c:pt idx="2">
                  <c:v>939</c:v>
                </c:pt>
                <c:pt idx="3">
                  <c:v>901.6</c:v>
                </c:pt>
                <c:pt idx="4">
                  <c:v>879.5</c:v>
                </c:pt>
                <c:pt idx="5">
                  <c:v>856.3</c:v>
                </c:pt>
                <c:pt idx="6">
                  <c:v>803.9</c:v>
                </c:pt>
                <c:pt idx="7">
                  <c:v>775.6</c:v>
                </c:pt>
                <c:pt idx="8">
                  <c:v>746.4</c:v>
                </c:pt>
                <c:pt idx="9">
                  <c:v>680.1</c:v>
                </c:pt>
                <c:pt idx="10">
                  <c:v>605.79999999999995</c:v>
                </c:pt>
                <c:pt idx="11">
                  <c:v>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4AF-BE82-43A97663FAD4}"/>
            </c:ext>
          </c:extLst>
        </c:ser>
        <c:ser>
          <c:idx val="2"/>
          <c:order val="1"/>
          <c:tx>
            <c:strRef>
              <c:f>'DW18'!$B$18:$B$19</c:f>
              <c:strCache>
                <c:ptCount val="2"/>
                <c:pt idx="0">
                  <c:v>Test Pump Curve</c:v>
                </c:pt>
                <c:pt idx="1">
                  <c:v>5/17/2017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'DW18'!$B$44:$K$44</c:f>
              <c:numCache>
                <c:formatCode>0.0</c:formatCode>
                <c:ptCount val="10"/>
                <c:pt idx="0">
                  <c:v>749.82259967764264</c:v>
                </c:pt>
                <c:pt idx="1">
                  <c:v>771.58221293329905</c:v>
                </c:pt>
                <c:pt idx="2">
                  <c:v>800.06291918543411</c:v>
                </c:pt>
                <c:pt idx="3">
                  <c:v>830.00152126708952</c:v>
                </c:pt>
                <c:pt idx="4">
                  <c:v>860.70416038010751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4AF-BE82-43A97663FAD4}"/>
            </c:ext>
          </c:extLst>
        </c:ser>
        <c:ser>
          <c:idx val="5"/>
          <c:order val="2"/>
          <c:tx>
            <c:strRef>
              <c:f>'DW18'!$A$2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'DW18'!$B$4</c:f>
              <c:numCache>
                <c:formatCode>#,##0</c:formatCode>
                <c:ptCount val="1"/>
                <c:pt idx="0">
                  <c:v>950</c:v>
                </c:pt>
              </c:numCache>
            </c:numRef>
          </c:xVal>
          <c:yVal>
            <c:numRef>
              <c:f>'DW18'!$B$5</c:f>
              <c:numCache>
                <c:formatCode>General</c:formatCode>
                <c:ptCount val="1"/>
                <c:pt idx="0">
                  <c:v>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12232"/>
        <c:axId val="335912624"/>
      </c:scatterChart>
      <c:scatterChart>
        <c:scatterStyle val="smoothMarker"/>
        <c:varyColors val="0"/>
        <c:ser>
          <c:idx val="4"/>
          <c:order val="3"/>
          <c:tx>
            <c:strRef>
              <c:f>'DW18'!$A$41</c:f>
              <c:strCache>
                <c:ptCount val="1"/>
                <c:pt idx="0">
                  <c:v>Ave. Volts: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'DW18'!$B$41:$K$41</c:f>
              <c:numCache>
                <c:formatCode>0</c:formatCode>
                <c:ptCount val="10"/>
                <c:pt idx="0">
                  <c:v>484</c:v>
                </c:pt>
                <c:pt idx="1">
                  <c:v>483.66666666666669</c:v>
                </c:pt>
                <c:pt idx="2">
                  <c:v>484</c:v>
                </c:pt>
                <c:pt idx="3">
                  <c:v>482</c:v>
                </c:pt>
                <c:pt idx="4">
                  <c:v>482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13408"/>
        <c:axId val="335913016"/>
      </c:scatterChart>
      <c:valAx>
        <c:axId val="335912232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35912624"/>
        <c:crosses val="autoZero"/>
        <c:crossBetween val="midCat"/>
      </c:valAx>
      <c:valAx>
        <c:axId val="3359126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912232"/>
        <c:crosses val="autoZero"/>
        <c:crossBetween val="midCat"/>
      </c:valAx>
      <c:valAx>
        <c:axId val="335913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35913408"/>
        <c:crosses val="max"/>
        <c:crossBetween val="midCat"/>
      </c:valAx>
      <c:valAx>
        <c:axId val="3359134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359130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6935533811218091"/>
          <c:y val="5.0795818606416257E-2"/>
          <c:w val="0.11241508491782388"/>
          <c:h val="0.8740873871762506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6449665823075408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'DW18'!$H$1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'DW18'!$J$3:$J$14</c:f>
              <c:numCache>
                <c:formatCode>General</c:formatCode>
                <c:ptCount val="12"/>
                <c:pt idx="0">
                  <c:v>0</c:v>
                </c:pt>
                <c:pt idx="1">
                  <c:v>198</c:v>
                </c:pt>
                <c:pt idx="2">
                  <c:v>395</c:v>
                </c:pt>
                <c:pt idx="3">
                  <c:v>593</c:v>
                </c:pt>
                <c:pt idx="4">
                  <c:v>695.9</c:v>
                </c:pt>
                <c:pt idx="5">
                  <c:v>791.3</c:v>
                </c:pt>
                <c:pt idx="6">
                  <c:v>896.1</c:v>
                </c:pt>
                <c:pt idx="7">
                  <c:v>943.2</c:v>
                </c:pt>
                <c:pt idx="8">
                  <c:v>988.7</c:v>
                </c:pt>
                <c:pt idx="9">
                  <c:v>1093.2</c:v>
                </c:pt>
                <c:pt idx="10">
                  <c:v>1194.9000000000001</c:v>
                </c:pt>
                <c:pt idx="11">
                  <c:v>1380.7</c:v>
                </c:pt>
              </c:numCache>
            </c:numRef>
          </c:xVal>
          <c:yVal>
            <c:numRef>
              <c:f>'DW18'!$H$3:$H$14</c:f>
              <c:numCache>
                <c:formatCode>General</c:formatCode>
                <c:ptCount val="12"/>
                <c:pt idx="0">
                  <c:v>1003.3</c:v>
                </c:pt>
                <c:pt idx="1">
                  <c:v>981.3</c:v>
                </c:pt>
                <c:pt idx="2">
                  <c:v>939</c:v>
                </c:pt>
                <c:pt idx="3">
                  <c:v>901.6</c:v>
                </c:pt>
                <c:pt idx="4">
                  <c:v>879.5</c:v>
                </c:pt>
                <c:pt idx="5">
                  <c:v>856.3</c:v>
                </c:pt>
                <c:pt idx="6">
                  <c:v>803.9</c:v>
                </c:pt>
                <c:pt idx="7">
                  <c:v>775.6</c:v>
                </c:pt>
                <c:pt idx="8">
                  <c:v>746.4</c:v>
                </c:pt>
                <c:pt idx="9">
                  <c:v>680.1</c:v>
                </c:pt>
                <c:pt idx="10">
                  <c:v>605.79999999999995</c:v>
                </c:pt>
                <c:pt idx="11">
                  <c:v>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8-4AAF-90AD-C8D0173ADB19}"/>
            </c:ext>
          </c:extLst>
        </c:ser>
        <c:ser>
          <c:idx val="2"/>
          <c:order val="1"/>
          <c:tx>
            <c:strRef>
              <c:f>'DW18'!$B$18:$B$19</c:f>
              <c:strCache>
                <c:ptCount val="2"/>
                <c:pt idx="0">
                  <c:v>Test Pump Curve</c:v>
                </c:pt>
                <c:pt idx="1">
                  <c:v>5/17/2017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'DW18'!$B$44:$K$44</c:f>
              <c:numCache>
                <c:formatCode>0.0</c:formatCode>
                <c:ptCount val="10"/>
                <c:pt idx="0">
                  <c:v>749.82259967764264</c:v>
                </c:pt>
                <c:pt idx="1">
                  <c:v>771.58221293329905</c:v>
                </c:pt>
                <c:pt idx="2">
                  <c:v>800.06291918543411</c:v>
                </c:pt>
                <c:pt idx="3">
                  <c:v>830.00152126708952</c:v>
                </c:pt>
                <c:pt idx="4">
                  <c:v>860.70416038010751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8-4AAF-90AD-C8D0173ADB19}"/>
            </c:ext>
          </c:extLst>
        </c:ser>
        <c:ser>
          <c:idx val="5"/>
          <c:order val="2"/>
          <c:tx>
            <c:strRef>
              <c:f>'DW18'!$A$2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'DW18'!$B$4</c:f>
              <c:numCache>
                <c:formatCode>#,##0</c:formatCode>
                <c:ptCount val="1"/>
                <c:pt idx="0">
                  <c:v>950</c:v>
                </c:pt>
              </c:numCache>
            </c:numRef>
          </c:xVal>
          <c:yVal>
            <c:numRef>
              <c:f>'DW18'!$B$5</c:f>
              <c:numCache>
                <c:formatCode>General</c:formatCode>
                <c:ptCount val="1"/>
                <c:pt idx="0">
                  <c:v>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14192"/>
        <c:axId val="335914584"/>
      </c:scatterChart>
      <c:scatterChart>
        <c:scatterStyle val="smoothMarker"/>
        <c:varyColors val="0"/>
        <c:ser>
          <c:idx val="4"/>
          <c:order val="3"/>
          <c:tx>
            <c:strRef>
              <c:f>'DW18'!$A$40</c:f>
              <c:strCache>
                <c:ptCount val="1"/>
                <c:pt idx="0">
                  <c:v>Ave. Amps: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'DW18'!$B$27:$K$27</c:f>
              <c:numCache>
                <c:formatCode>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'DW18'!$B$40:$K$40</c:f>
              <c:numCache>
                <c:formatCode>#,##0</c:formatCode>
                <c:ptCount val="10"/>
                <c:pt idx="0">
                  <c:v>242.66666666666666</c:v>
                </c:pt>
                <c:pt idx="1">
                  <c:v>242.33333333333334</c:v>
                </c:pt>
                <c:pt idx="2">
                  <c:v>238.33333333333334</c:v>
                </c:pt>
                <c:pt idx="3">
                  <c:v>231.33333333333334</c:v>
                </c:pt>
                <c:pt idx="4">
                  <c:v>223.33333333333334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15368"/>
        <c:axId val="335914976"/>
      </c:scatterChart>
      <c:valAx>
        <c:axId val="335914192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35914584"/>
        <c:crosses val="autoZero"/>
        <c:crossBetween val="midCat"/>
      </c:valAx>
      <c:valAx>
        <c:axId val="33591458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914192"/>
        <c:crosses val="autoZero"/>
        <c:crossBetween val="midCat"/>
      </c:valAx>
      <c:valAx>
        <c:axId val="3359149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5915368"/>
        <c:crosses val="max"/>
        <c:crossBetween val="midCat"/>
      </c:valAx>
      <c:valAx>
        <c:axId val="33591536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3591497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775246963382195"/>
          <c:y val="3.5687221100643471E-2"/>
          <c:w val="0.10959286821149999"/>
          <c:h val="0.9156360303171259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6" name="Picture 3" descr="mesa-az-CMYK-300dpi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50</xdr:row>
      <xdr:rowOff>0</xdr:rowOff>
    </xdr:from>
    <xdr:to>
      <xdr:col>13</xdr:col>
      <xdr:colOff>9525</xdr:colOff>
      <xdr:row>67</xdr:row>
      <xdr:rowOff>123824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69</xdr:row>
      <xdr:rowOff>0</xdr:rowOff>
    </xdr:from>
    <xdr:to>
      <xdr:col>13</xdr:col>
      <xdr:colOff>9525</xdr:colOff>
      <xdr:row>86</xdr:row>
      <xdr:rowOff>123824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13</xdr:col>
      <xdr:colOff>9525</xdr:colOff>
      <xdr:row>105</xdr:row>
      <xdr:rowOff>123824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3F49DE-0264-4BF7-8592-26702B6C4EE3}"/>
            </a:ext>
          </a:extLst>
        </cdr:cNvPr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DW18'!$C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0F7FFCD-67FB-4DB3-834E-EFDCD2DBF256}"/>
            </a:ext>
          </a:extLst>
        </cdr:cNvPr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0.4566</cdr:x>
      <cdr:y>0.02077</cdr:y>
    </cdr:from>
    <cdr:to>
      <cdr:x>0.54534</cdr:x>
      <cdr:y>0.11426</cdr:y>
    </cdr:to>
    <cdr:sp macro="" textlink="'DW18'!$B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80511A57-008A-483A-9D71-F8F0035C1C2D}"/>
            </a:ext>
          </a:extLst>
        </cdr:cNvPr>
        <cdr:cNvSpPr txBox="1"/>
      </cdr:nvSpPr>
      <cdr:spPr>
        <a:xfrm xmlns:a="http://schemas.openxmlformats.org/drawingml/2006/main">
          <a:off x="4996177" y="69835"/>
          <a:ext cx="971003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9CD0E4-C7AF-4439-BCB0-34B21759FC5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ctr"/>
            <a:t>DW18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0.44971</cdr:x>
      <cdr:y>0.11521</cdr:y>
    </cdr:from>
    <cdr:to>
      <cdr:x>0.55175</cdr:x>
      <cdr:y>0.19169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28EEE91A-399C-45A1-8326-E651515D43EB}"/>
            </a:ext>
          </a:extLst>
        </cdr:cNvPr>
        <cdr:cNvSpPr txBox="1"/>
      </cdr:nvSpPr>
      <cdr:spPr>
        <a:xfrm xmlns:a="http://schemas.openxmlformats.org/drawingml/2006/main">
          <a:off x="4920728" y="387365"/>
          <a:ext cx="1116532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BE8EF99-862A-4C11-B3E1-6775501D250E}"/>
            </a:ext>
          </a:extLst>
        </cdr:cNvPr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B1856C3-DAE0-4460-942B-0537BC3B46D3}"/>
            </a:ext>
          </a:extLst>
        </cdr:cNvPr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DW18'!$C$1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6BA8501-98CD-4340-A083-17F82B79164F}"/>
            </a:ext>
          </a:extLst>
        </cdr:cNvPr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DW18'!$B$1">
      <cdr:nvSpPr>
        <cdr:cNvPr id="11" name="TextBox 2">
          <a:extLst xmlns:a="http://schemas.openxmlformats.org/drawingml/2006/main">
            <a:ext uri="{FF2B5EF4-FFF2-40B4-BE49-F238E27FC236}">
              <a16:creationId xmlns:a16="http://schemas.microsoft.com/office/drawing/2014/main" id="{6B507657-9070-4958-9070-2D33F3381781}"/>
            </a:ext>
          </a:extLst>
        </cdr:cNvPr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47A32FF-D5CC-4B1E-9378-13863355757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DW18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8E30869-1CE9-44CA-989C-5CB0BF4B9475}"/>
            </a:ext>
          </a:extLst>
        </cdr:cNvPr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4EFF628C-8A05-4552-BC13-C4A5A3FF2AEB}"/>
            </a:ext>
          </a:extLst>
        </cdr:cNvPr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DW18'!$C$1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3D767FD4-297A-44F7-9848-0CE0DC3CA479}"/>
            </a:ext>
          </a:extLst>
        </cdr:cNvPr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DW18'!$B$1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001CC82-67FC-4209-ACD3-093417269F75}"/>
            </a:ext>
          </a:extLst>
        </cdr:cNvPr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3365A54-70F2-458B-80C2-9CA684FDC99A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DW18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50"/>
  <sheetViews>
    <sheetView tabSelected="1" zoomScaleNormal="100" workbookViewId="0">
      <selection activeCell="C47" sqref="C47"/>
    </sheetView>
  </sheetViews>
  <sheetFormatPr defaultRowHeight="15" x14ac:dyDescent="0.25"/>
  <cols>
    <col min="1" max="1" width="33.140625" customWidth="1"/>
    <col min="2" max="2" width="13.5703125" bestFit="1" customWidth="1"/>
    <col min="3" max="4" width="11.42578125" customWidth="1"/>
    <col min="5" max="5" width="12.140625" customWidth="1"/>
    <col min="6" max="8" width="9.42578125" customWidth="1"/>
    <col min="9" max="10" width="11" bestFit="1" customWidth="1"/>
    <col min="11" max="11" width="11.7109375" bestFit="1" customWidth="1"/>
    <col min="12" max="13" width="11.7109375" customWidth="1"/>
    <col min="14" max="14" width="3.42578125" customWidth="1"/>
    <col min="15" max="15" width="7" bestFit="1" customWidth="1"/>
    <col min="16" max="16" width="14.42578125" bestFit="1" customWidth="1"/>
    <col min="17" max="17" width="20.85546875" bestFit="1" customWidth="1"/>
    <col min="18" max="18" width="23" bestFit="1" customWidth="1"/>
    <col min="21" max="21" width="10.7109375" customWidth="1"/>
    <col min="22" max="22" width="10.42578125" customWidth="1"/>
    <col min="24" max="24" width="10.28515625" customWidth="1"/>
  </cols>
  <sheetData>
    <row r="1" spans="1:18" ht="21.75" thickBot="1" x14ac:dyDescent="0.4">
      <c r="A1" s="5" t="s">
        <v>61</v>
      </c>
      <c r="B1" s="6" t="s">
        <v>67</v>
      </c>
      <c r="C1" s="43"/>
      <c r="D1" s="4"/>
      <c r="E1" s="4"/>
      <c r="G1" s="4"/>
      <c r="H1" s="80" t="s">
        <v>11</v>
      </c>
      <c r="I1" s="81"/>
      <c r="J1" s="81"/>
      <c r="K1" s="81"/>
      <c r="L1" s="81"/>
      <c r="M1" s="82"/>
      <c r="O1" s="80" t="str">
        <f>B18&amp;" "&amp;B19&amp;" Transposed for Model Use"</f>
        <v>Test Pump Curve 42872 Transposed for Model Use</v>
      </c>
      <c r="P1" s="81"/>
      <c r="Q1" s="81"/>
      <c r="R1" s="82"/>
    </row>
    <row r="2" spans="1:18" ht="19.5" thickBot="1" x14ac:dyDescent="0.3">
      <c r="A2" s="83" t="s">
        <v>12</v>
      </c>
      <c r="B2" s="84"/>
      <c r="D2" s="7" t="s">
        <v>16</v>
      </c>
      <c r="E2" s="47" t="s">
        <v>81</v>
      </c>
      <c r="G2" s="4"/>
      <c r="H2" s="28" t="s">
        <v>9</v>
      </c>
      <c r="I2" s="9" t="s">
        <v>21</v>
      </c>
      <c r="J2" s="2" t="s">
        <v>10</v>
      </c>
      <c r="K2" s="29" t="s">
        <v>36</v>
      </c>
      <c r="L2" s="2" t="s">
        <v>50</v>
      </c>
      <c r="M2" s="29" t="s">
        <v>51</v>
      </c>
      <c r="O2" s="30" t="s">
        <v>38</v>
      </c>
      <c r="P2" s="24" t="s">
        <v>5</v>
      </c>
      <c r="Q2" s="24" t="s">
        <v>3</v>
      </c>
      <c r="R2" s="31" t="s">
        <v>8</v>
      </c>
    </row>
    <row r="3" spans="1:18" ht="15.75" customHeight="1" thickBot="1" x14ac:dyDescent="0.3">
      <c r="A3" s="46" t="s">
        <v>13</v>
      </c>
      <c r="B3" s="55">
        <f>B4*1440/1000000</f>
        <v>1.3680000000000001</v>
      </c>
      <c r="D3" s="8" t="s">
        <v>18</v>
      </c>
      <c r="E3" s="47" t="s">
        <v>79</v>
      </c>
      <c r="G3">
        <v>1</v>
      </c>
      <c r="H3" s="50">
        <v>1003.3</v>
      </c>
      <c r="I3" s="23">
        <f>IF(J3&lt;&gt;"",((J3*1440)/1000000),"")</f>
        <v>0</v>
      </c>
      <c r="J3" s="47">
        <v>0</v>
      </c>
      <c r="K3" s="51">
        <v>0</v>
      </c>
      <c r="L3" s="47"/>
      <c r="M3" s="52">
        <v>102.9</v>
      </c>
      <c r="O3" s="32">
        <v>1</v>
      </c>
      <c r="P3" s="26">
        <f t="shared" ref="P3:R12" si="0">VLOOKUP(P$2,$A$20:$K$47,1+$O3,FALSE)</f>
        <v>749.82259967764264</v>
      </c>
      <c r="Q3" s="25">
        <f t="shared" si="0"/>
        <v>1.3824000000000001</v>
      </c>
      <c r="R3" s="33">
        <f>VLOOKUP(R$2,$A$20:$K$47,1+$O3,FALSE)</f>
        <v>0.75978390300512599</v>
      </c>
    </row>
    <row r="4" spans="1:18" ht="15.75" customHeight="1" thickBot="1" x14ac:dyDescent="0.3">
      <c r="A4" s="46" t="s">
        <v>14</v>
      </c>
      <c r="B4" s="56">
        <v>950</v>
      </c>
      <c r="D4" s="8" t="s">
        <v>20</v>
      </c>
      <c r="E4" s="48" t="s">
        <v>80</v>
      </c>
      <c r="G4">
        <v>2</v>
      </c>
      <c r="H4" s="50">
        <v>981.3</v>
      </c>
      <c r="I4" s="23">
        <f t="shared" ref="I4:I12" si="1">IF(J4&lt;&gt;"",((J4*1440)/1000000),"")</f>
        <v>0.28511999999999998</v>
      </c>
      <c r="J4" s="47">
        <v>198</v>
      </c>
      <c r="K4" s="51">
        <v>0.40899999999999997</v>
      </c>
      <c r="L4" s="47"/>
      <c r="M4" s="52">
        <v>120.1</v>
      </c>
      <c r="O4" s="32">
        <v>2</v>
      </c>
      <c r="P4" s="26">
        <f t="shared" si="0"/>
        <v>771.58221293329905</v>
      </c>
      <c r="Q4" s="25">
        <f t="shared" si="0"/>
        <v>1.33344</v>
      </c>
      <c r="R4" s="33">
        <f t="shared" si="0"/>
        <v>0.7557004759475765</v>
      </c>
    </row>
    <row r="5" spans="1:18" ht="16.5" customHeight="1" thickBot="1" x14ac:dyDescent="0.3">
      <c r="A5" s="46" t="s">
        <v>15</v>
      </c>
      <c r="B5" s="57">
        <v>757</v>
      </c>
      <c r="C5" s="17"/>
      <c r="D5" s="7" t="s">
        <v>17</v>
      </c>
      <c r="E5" s="47">
        <v>250</v>
      </c>
      <c r="G5">
        <v>3</v>
      </c>
      <c r="H5" s="50">
        <v>939</v>
      </c>
      <c r="I5" s="23">
        <f t="shared" si="1"/>
        <v>0.56879999999999997</v>
      </c>
      <c r="J5" s="47">
        <v>395</v>
      </c>
      <c r="K5" s="51">
        <v>0.67300000000000004</v>
      </c>
      <c r="L5" s="47"/>
      <c r="M5" s="52">
        <v>139.5</v>
      </c>
      <c r="O5" s="32">
        <v>3</v>
      </c>
      <c r="P5" s="26">
        <f t="shared" si="0"/>
        <v>800.06291918543411</v>
      </c>
      <c r="Q5" s="25">
        <f t="shared" si="0"/>
        <v>1.26</v>
      </c>
      <c r="R5" s="33">
        <f t="shared" si="0"/>
        <v>0.7523464260897037</v>
      </c>
    </row>
    <row r="6" spans="1:18" ht="15.75" thickBot="1" x14ac:dyDescent="0.3">
      <c r="A6" s="10"/>
      <c r="B6" s="44"/>
      <c r="D6" s="7" t="s">
        <v>19</v>
      </c>
      <c r="E6" s="47">
        <v>460</v>
      </c>
      <c r="G6">
        <v>4</v>
      </c>
      <c r="H6" s="50">
        <v>901.6</v>
      </c>
      <c r="I6" s="23">
        <f t="shared" si="1"/>
        <v>0.85392000000000001</v>
      </c>
      <c r="J6" s="47">
        <v>593</v>
      </c>
      <c r="K6" s="51">
        <v>0.80200000000000005</v>
      </c>
      <c r="L6" s="47"/>
      <c r="M6" s="52">
        <v>168.7</v>
      </c>
      <c r="O6" s="32">
        <v>4</v>
      </c>
      <c r="P6" s="26">
        <f t="shared" si="0"/>
        <v>830.00152126708952</v>
      </c>
      <c r="Q6" s="25">
        <f t="shared" si="0"/>
        <v>1.1779200000000001</v>
      </c>
      <c r="R6" s="33">
        <f t="shared" si="0"/>
        <v>0.75485363992015309</v>
      </c>
    </row>
    <row r="7" spans="1:18" ht="19.5" thickBot="1" x14ac:dyDescent="0.3">
      <c r="A7" s="83" t="s">
        <v>42</v>
      </c>
      <c r="B7" s="84"/>
      <c r="D7" s="8" t="s">
        <v>31</v>
      </c>
      <c r="E7" s="48" t="s">
        <v>68</v>
      </c>
      <c r="G7">
        <v>5</v>
      </c>
      <c r="H7" s="50">
        <v>879.5</v>
      </c>
      <c r="I7" s="23">
        <f t="shared" si="1"/>
        <v>1.0020960000000001</v>
      </c>
      <c r="J7" s="47">
        <v>695.9</v>
      </c>
      <c r="K7" s="51">
        <v>0.84199999999999997</v>
      </c>
      <c r="L7" s="47"/>
      <c r="M7" s="52">
        <v>184.1</v>
      </c>
      <c r="O7" s="32">
        <v>5</v>
      </c>
      <c r="P7" s="26">
        <f t="shared" si="0"/>
        <v>860.70416038010751</v>
      </c>
      <c r="Q7" s="25">
        <f t="shared" si="0"/>
        <v>1.08</v>
      </c>
      <c r="R7" s="33">
        <f t="shared" si="0"/>
        <v>0.74341341696890384</v>
      </c>
    </row>
    <row r="8" spans="1:18" s="11" customFormat="1" ht="15" customHeight="1" thickBot="1" x14ac:dyDescent="0.3">
      <c r="A8" s="58" t="s">
        <v>34</v>
      </c>
      <c r="B8" s="59">
        <v>1456.3</v>
      </c>
      <c r="D8" s="7" t="s">
        <v>43</v>
      </c>
      <c r="E8" s="47">
        <v>0.877</v>
      </c>
      <c r="G8">
        <v>6</v>
      </c>
      <c r="H8" s="50">
        <v>856.3</v>
      </c>
      <c r="I8" s="23">
        <f t="shared" si="1"/>
        <v>1.139472</v>
      </c>
      <c r="J8" s="47">
        <v>791.3</v>
      </c>
      <c r="K8" s="51">
        <v>0.86699999999999999</v>
      </c>
      <c r="L8" s="47"/>
      <c r="M8" s="52">
        <v>197.5</v>
      </c>
      <c r="O8" s="32">
        <v>6</v>
      </c>
      <c r="P8" s="26" t="str">
        <f t="shared" si="0"/>
        <v/>
      </c>
      <c r="Q8" s="25" t="str">
        <f t="shared" si="0"/>
        <v/>
      </c>
      <c r="R8" s="33" t="str">
        <f t="shared" si="0"/>
        <v/>
      </c>
    </row>
    <row r="9" spans="1:18" ht="15.75" thickBot="1" x14ac:dyDescent="0.3">
      <c r="A9" s="60" t="s">
        <v>30</v>
      </c>
      <c r="B9" s="57" t="s">
        <v>69</v>
      </c>
      <c r="D9" s="7" t="s">
        <v>44</v>
      </c>
      <c r="E9" s="47">
        <v>0.95</v>
      </c>
      <c r="G9">
        <v>7</v>
      </c>
      <c r="H9" s="50">
        <v>803.9</v>
      </c>
      <c r="I9" s="23">
        <f t="shared" si="1"/>
        <v>1.290384</v>
      </c>
      <c r="J9" s="47">
        <v>896.1</v>
      </c>
      <c r="K9" s="51">
        <v>0.873</v>
      </c>
      <c r="L9" s="47"/>
      <c r="M9" s="52">
        <v>208.7</v>
      </c>
      <c r="O9" s="32">
        <v>7</v>
      </c>
      <c r="P9" s="26" t="str">
        <f t="shared" si="0"/>
        <v/>
      </c>
      <c r="Q9" s="25" t="str">
        <f t="shared" si="0"/>
        <v/>
      </c>
      <c r="R9" s="33" t="str">
        <f t="shared" si="0"/>
        <v/>
      </c>
    </row>
    <row r="10" spans="1:18" ht="15.75" thickBot="1" x14ac:dyDescent="0.3">
      <c r="A10" s="58" t="s">
        <v>46</v>
      </c>
      <c r="B10" s="59">
        <v>404.55</v>
      </c>
      <c r="C10" s="17"/>
      <c r="D10" s="7" t="s">
        <v>60</v>
      </c>
      <c r="E10" s="47">
        <v>820</v>
      </c>
      <c r="G10">
        <v>8</v>
      </c>
      <c r="H10" s="50">
        <v>775.6</v>
      </c>
      <c r="I10" s="77">
        <f t="shared" si="1"/>
        <v>1.3582080000000001</v>
      </c>
      <c r="J10" s="47">
        <v>943.2</v>
      </c>
      <c r="K10" s="51">
        <v>0.86899999999999999</v>
      </c>
      <c r="L10" s="47"/>
      <c r="M10" s="52">
        <v>212.7</v>
      </c>
      <c r="O10" s="32">
        <v>8</v>
      </c>
      <c r="P10" s="26" t="str">
        <f t="shared" si="0"/>
        <v/>
      </c>
      <c r="Q10" s="25" t="str">
        <f t="shared" si="0"/>
        <v/>
      </c>
      <c r="R10" s="33" t="str">
        <f t="shared" si="0"/>
        <v/>
      </c>
    </row>
    <row r="11" spans="1:18" x14ac:dyDescent="0.25">
      <c r="B11">
        <v>417</v>
      </c>
      <c r="D11" s="38" t="s">
        <v>65</v>
      </c>
      <c r="E11" s="47">
        <v>10</v>
      </c>
      <c r="G11">
        <v>9</v>
      </c>
      <c r="H11" s="50">
        <v>746.4</v>
      </c>
      <c r="I11" s="23">
        <f t="shared" si="1"/>
        <v>1.4237280000000001</v>
      </c>
      <c r="J11" s="47">
        <v>988.7</v>
      </c>
      <c r="K11" s="51">
        <v>0.86199999999999999</v>
      </c>
      <c r="L11" s="47"/>
      <c r="M11" s="52">
        <v>216.3</v>
      </c>
      <c r="O11" s="32">
        <v>9</v>
      </c>
      <c r="P11" s="26" t="str">
        <f t="shared" si="0"/>
        <v/>
      </c>
      <c r="Q11" s="25" t="str">
        <f t="shared" si="0"/>
        <v/>
      </c>
      <c r="R11" s="33" t="str">
        <f t="shared" si="0"/>
        <v/>
      </c>
    </row>
    <row r="12" spans="1:18" ht="15.75" thickBot="1" x14ac:dyDescent="0.3">
      <c r="A12" s="61"/>
      <c r="B12" s="44"/>
      <c r="D12" s="38" t="s">
        <v>63</v>
      </c>
      <c r="E12" s="47">
        <v>3.5</v>
      </c>
      <c r="F12" s="63"/>
      <c r="G12">
        <v>10</v>
      </c>
      <c r="H12" s="50">
        <v>680.1</v>
      </c>
      <c r="I12" s="23">
        <f t="shared" si="1"/>
        <v>1.5742080000000001</v>
      </c>
      <c r="J12" s="47">
        <v>1093.2</v>
      </c>
      <c r="K12" s="51">
        <v>0.83799999999999997</v>
      </c>
      <c r="L12" s="47"/>
      <c r="M12" s="52">
        <v>224.2</v>
      </c>
      <c r="O12" s="34">
        <v>10</v>
      </c>
      <c r="P12" s="35" t="str">
        <f t="shared" si="0"/>
        <v/>
      </c>
      <c r="Q12" s="36" t="str">
        <f t="shared" si="0"/>
        <v/>
      </c>
      <c r="R12" s="37" t="str">
        <f t="shared" si="0"/>
        <v/>
      </c>
    </row>
    <row r="13" spans="1:18" ht="15.75" x14ac:dyDescent="0.25">
      <c r="A13" s="78" t="s">
        <v>62</v>
      </c>
      <c r="B13" s="79"/>
      <c r="D13" s="38" t="s">
        <v>77</v>
      </c>
      <c r="E13" s="74">
        <f>E10/100*2.3</f>
        <v>18.859999999999996</v>
      </c>
      <c r="F13" s="66"/>
      <c r="G13">
        <v>11</v>
      </c>
      <c r="H13" s="50">
        <v>605.79999999999995</v>
      </c>
      <c r="I13" s="23">
        <f t="shared" ref="I13:I14" si="2">IF(J13&lt;&gt;"",((J13*1440)/1000000),"")</f>
        <v>1.7206560000000002</v>
      </c>
      <c r="J13" s="47">
        <v>1194.9000000000001</v>
      </c>
      <c r="K13" s="51">
        <v>0.79100000000000004</v>
      </c>
      <c r="L13" s="47"/>
      <c r="M13" s="52">
        <v>231.2</v>
      </c>
    </row>
    <row r="14" spans="1:18" ht="15.75" thickBot="1" x14ac:dyDescent="0.3">
      <c r="A14" s="9" t="s">
        <v>13</v>
      </c>
      <c r="B14" s="40"/>
      <c r="D14" s="38" t="s">
        <v>66</v>
      </c>
      <c r="E14" s="47">
        <v>100</v>
      </c>
      <c r="F14" s="64"/>
      <c r="G14">
        <v>12</v>
      </c>
      <c r="H14" s="69">
        <v>439</v>
      </c>
      <c r="I14" s="70">
        <f t="shared" si="2"/>
        <v>1.988208</v>
      </c>
      <c r="J14" s="53">
        <v>1380.7</v>
      </c>
      <c r="K14" s="54">
        <v>0.64100000000000001</v>
      </c>
      <c r="L14" s="53"/>
      <c r="M14" s="71">
        <v>238.9</v>
      </c>
    </row>
    <row r="15" spans="1:18" x14ac:dyDescent="0.25">
      <c r="A15" s="9" t="s">
        <v>14</v>
      </c>
      <c r="B15" s="22" t="str">
        <f>IF(B14&lt;&gt; "",((B14*1000000)/1440),"")</f>
        <v/>
      </c>
      <c r="C15" s="17"/>
      <c r="D15" s="38" t="s">
        <v>64</v>
      </c>
      <c r="E15" s="47">
        <v>12</v>
      </c>
    </row>
    <row r="16" spans="1:18" x14ac:dyDescent="0.25">
      <c r="A16" s="10"/>
      <c r="D16" s="38" t="s">
        <v>49</v>
      </c>
      <c r="E16" s="47"/>
      <c r="I16" s="27"/>
      <c r="J16" s="27" t="s">
        <v>39</v>
      </c>
      <c r="K16" s="49"/>
    </row>
    <row r="17" spans="1:18" x14ac:dyDescent="0.25">
      <c r="A17" s="10"/>
      <c r="I17" s="27"/>
      <c r="J17" s="27" t="s">
        <v>40</v>
      </c>
      <c r="K17" s="22"/>
    </row>
    <row r="18" spans="1:18" ht="15.75" x14ac:dyDescent="0.25">
      <c r="A18" s="1"/>
      <c r="B18" s="21" t="s">
        <v>37</v>
      </c>
      <c r="D18" s="10"/>
      <c r="E18" s="65"/>
      <c r="F18" s="64"/>
      <c r="G18" s="64"/>
      <c r="I18" s="27"/>
      <c r="J18" s="27" t="s">
        <v>41</v>
      </c>
      <c r="K18" s="13"/>
      <c r="P18" s="68"/>
      <c r="Q18" s="68"/>
    </row>
    <row r="19" spans="1:18" ht="15.75" customHeight="1" x14ac:dyDescent="0.25">
      <c r="A19" s="12" t="s">
        <v>1</v>
      </c>
      <c r="B19" s="67">
        <v>42872</v>
      </c>
      <c r="C19" s="17"/>
      <c r="F19" s="17"/>
      <c r="P19" s="17"/>
      <c r="Q19" s="17"/>
    </row>
    <row r="20" spans="1:18" x14ac:dyDescent="0.25">
      <c r="A20" s="2" t="s">
        <v>0</v>
      </c>
      <c r="B20" s="2" t="s">
        <v>22</v>
      </c>
      <c r="C20" s="2" t="s">
        <v>23</v>
      </c>
      <c r="D20" s="2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32</v>
      </c>
      <c r="K20" s="2" t="s">
        <v>33</v>
      </c>
      <c r="N20" s="62"/>
      <c r="P20" s="17"/>
      <c r="Q20" s="17"/>
    </row>
    <row r="21" spans="1:18" x14ac:dyDescent="0.25">
      <c r="A21" s="3" t="s">
        <v>2</v>
      </c>
      <c r="B21" s="39" t="s">
        <v>75</v>
      </c>
      <c r="C21" s="39" t="s">
        <v>70</v>
      </c>
      <c r="D21" s="39" t="s">
        <v>71</v>
      </c>
      <c r="E21" s="39" t="s">
        <v>72</v>
      </c>
      <c r="F21" s="39" t="s">
        <v>73</v>
      </c>
      <c r="G21" s="39"/>
      <c r="H21" s="39"/>
      <c r="I21" s="39"/>
      <c r="J21" s="39"/>
      <c r="K21" s="39"/>
      <c r="P21" s="17"/>
      <c r="Q21" s="17"/>
    </row>
    <row r="22" spans="1:18" x14ac:dyDescent="0.25">
      <c r="A22" s="3" t="s">
        <v>45</v>
      </c>
      <c r="B22" s="40">
        <v>1786</v>
      </c>
      <c r="C22" s="40">
        <v>1786</v>
      </c>
      <c r="D22" s="40">
        <v>1786</v>
      </c>
      <c r="E22" s="40">
        <v>1786</v>
      </c>
      <c r="F22" s="40">
        <v>1786</v>
      </c>
      <c r="G22" s="40"/>
      <c r="H22" s="40"/>
      <c r="I22" s="40"/>
      <c r="J22" s="40"/>
      <c r="K22" s="40"/>
      <c r="P22" s="17"/>
      <c r="Q22" s="17"/>
    </row>
    <row r="23" spans="1:18" x14ac:dyDescent="0.25">
      <c r="A23" s="3" t="s">
        <v>48</v>
      </c>
      <c r="B23" s="41">
        <v>426</v>
      </c>
      <c r="C23" s="41">
        <v>426</v>
      </c>
      <c r="D23" s="41" t="s">
        <v>74</v>
      </c>
      <c r="E23" s="41">
        <v>426</v>
      </c>
      <c r="F23" s="41">
        <v>426</v>
      </c>
      <c r="G23" s="41"/>
      <c r="H23" s="41"/>
      <c r="I23" s="41"/>
      <c r="J23" s="41"/>
      <c r="K23" s="41"/>
      <c r="P23" s="17"/>
      <c r="Q23" s="17"/>
    </row>
    <row r="24" spans="1:18" x14ac:dyDescent="0.25">
      <c r="A24" s="3" t="s">
        <v>47</v>
      </c>
      <c r="B24" s="40">
        <v>714</v>
      </c>
      <c r="C24" s="40">
        <v>704</v>
      </c>
      <c r="D24" s="40">
        <v>690</v>
      </c>
      <c r="E24" s="40">
        <v>675</v>
      </c>
      <c r="F24" s="40">
        <v>654</v>
      </c>
      <c r="G24" s="40"/>
      <c r="H24" s="40"/>
      <c r="I24" s="40"/>
      <c r="J24" s="40"/>
      <c r="K24" s="40"/>
      <c r="P24" s="17"/>
      <c r="Q24" s="17"/>
    </row>
    <row r="25" spans="1:18" x14ac:dyDescent="0.25">
      <c r="A25" s="3" t="s">
        <v>89</v>
      </c>
      <c r="B25" s="45">
        <v>8</v>
      </c>
      <c r="C25" s="45">
        <v>22.1</v>
      </c>
      <c r="D25" s="45">
        <v>41</v>
      </c>
      <c r="E25" s="45">
        <v>61</v>
      </c>
      <c r="F25" s="45">
        <v>84</v>
      </c>
      <c r="G25" s="45"/>
      <c r="H25" s="42"/>
      <c r="I25" s="42"/>
      <c r="J25" s="42"/>
      <c r="K25" s="42"/>
      <c r="P25" s="11"/>
      <c r="Q25" s="68"/>
      <c r="R25" s="68"/>
    </row>
    <row r="26" spans="1:18" x14ac:dyDescent="0.25">
      <c r="A26" s="3" t="s">
        <v>35</v>
      </c>
      <c r="B26" s="45" t="s">
        <v>91</v>
      </c>
      <c r="C26" s="45">
        <v>18.2</v>
      </c>
      <c r="D26" s="45">
        <v>37.9</v>
      </c>
      <c r="E26" s="45">
        <v>59.7</v>
      </c>
      <c r="F26" s="45">
        <v>81</v>
      </c>
      <c r="G26" s="45"/>
      <c r="H26" s="45"/>
      <c r="I26" s="45"/>
      <c r="J26" s="45"/>
      <c r="K26" s="45"/>
      <c r="Q26" s="17"/>
      <c r="R26" s="17"/>
    </row>
    <row r="27" spans="1:18" x14ac:dyDescent="0.25">
      <c r="A27" s="3" t="s">
        <v>6</v>
      </c>
      <c r="B27" s="45">
        <v>960</v>
      </c>
      <c r="C27" s="45">
        <v>926</v>
      </c>
      <c r="D27" s="45">
        <v>875</v>
      </c>
      <c r="E27" s="45">
        <v>818</v>
      </c>
      <c r="F27" s="45">
        <v>750</v>
      </c>
      <c r="G27" s="45"/>
      <c r="H27" s="45"/>
      <c r="I27" s="45"/>
      <c r="J27" s="45"/>
      <c r="K27" s="45"/>
      <c r="P27" s="73"/>
      <c r="Q27" s="17"/>
      <c r="R27" s="17"/>
    </row>
    <row r="28" spans="1:18" x14ac:dyDescent="0.25">
      <c r="A28" s="3" t="s">
        <v>52</v>
      </c>
      <c r="B28" s="40">
        <v>248</v>
      </c>
      <c r="C28" s="40">
        <v>247</v>
      </c>
      <c r="D28" s="40">
        <v>243</v>
      </c>
      <c r="E28" s="40">
        <v>236</v>
      </c>
      <c r="F28" s="40">
        <v>228</v>
      </c>
      <c r="G28" s="40"/>
      <c r="H28" s="40"/>
      <c r="I28" s="40"/>
      <c r="J28" s="40"/>
      <c r="K28" s="40"/>
      <c r="Q28" s="17"/>
      <c r="R28" s="17"/>
    </row>
    <row r="29" spans="1:18" x14ac:dyDescent="0.25">
      <c r="A29" s="3" t="s">
        <v>53</v>
      </c>
      <c r="B29" s="40">
        <v>240</v>
      </c>
      <c r="C29" s="40">
        <v>240</v>
      </c>
      <c r="D29" s="40">
        <v>237</v>
      </c>
      <c r="E29" s="40">
        <v>229</v>
      </c>
      <c r="F29" s="40">
        <v>220</v>
      </c>
      <c r="G29" s="40"/>
      <c r="H29" s="40"/>
      <c r="I29" s="40"/>
      <c r="J29" s="40"/>
      <c r="K29" s="40"/>
      <c r="Q29" s="17"/>
      <c r="R29" s="17"/>
    </row>
    <row r="30" spans="1:18" x14ac:dyDescent="0.25">
      <c r="A30" s="3" t="s">
        <v>54</v>
      </c>
      <c r="B30" s="40">
        <v>240</v>
      </c>
      <c r="C30" s="40">
        <v>240</v>
      </c>
      <c r="D30" s="40">
        <v>235</v>
      </c>
      <c r="E30" s="40">
        <v>229</v>
      </c>
      <c r="F30" s="40">
        <v>222</v>
      </c>
      <c r="G30" s="40"/>
      <c r="H30" s="40"/>
      <c r="I30" s="40"/>
      <c r="J30" s="40"/>
      <c r="K30" s="40"/>
      <c r="Q30" s="17"/>
      <c r="R30" s="17"/>
    </row>
    <row r="31" spans="1:18" x14ac:dyDescent="0.25">
      <c r="A31" s="3" t="s">
        <v>55</v>
      </c>
      <c r="B31" s="40">
        <v>483</v>
      </c>
      <c r="C31" s="40">
        <v>483</v>
      </c>
      <c r="D31" s="40">
        <v>483</v>
      </c>
      <c r="E31" s="40">
        <v>481</v>
      </c>
      <c r="F31" s="40">
        <v>481</v>
      </c>
      <c r="G31" s="40"/>
      <c r="H31" s="40"/>
      <c r="I31" s="40"/>
      <c r="J31" s="40"/>
      <c r="K31" s="40"/>
      <c r="P31" s="72"/>
      <c r="Q31" s="17"/>
      <c r="R31" s="17"/>
    </row>
    <row r="32" spans="1:18" x14ac:dyDescent="0.25">
      <c r="A32" s="3" t="s">
        <v>56</v>
      </c>
      <c r="B32" s="40">
        <v>483</v>
      </c>
      <c r="C32" s="40">
        <v>485</v>
      </c>
      <c r="D32" s="40">
        <v>486</v>
      </c>
      <c r="E32" s="40">
        <v>481</v>
      </c>
      <c r="F32" s="40">
        <v>481</v>
      </c>
      <c r="G32" s="40"/>
      <c r="H32" s="40"/>
      <c r="I32" s="40"/>
      <c r="J32" s="40"/>
      <c r="K32" s="40"/>
    </row>
    <row r="33" spans="1:11" x14ac:dyDescent="0.25">
      <c r="A33" s="3" t="s">
        <v>57</v>
      </c>
      <c r="B33" s="40">
        <v>486</v>
      </c>
      <c r="C33" s="40">
        <v>483</v>
      </c>
      <c r="D33" s="40">
        <v>483</v>
      </c>
      <c r="E33" s="40">
        <v>484</v>
      </c>
      <c r="F33" s="40">
        <v>484</v>
      </c>
      <c r="G33" s="40"/>
      <c r="H33" s="40"/>
      <c r="I33" s="40"/>
      <c r="J33" s="40"/>
      <c r="K33" s="40"/>
    </row>
    <row r="34" spans="1:11" x14ac:dyDescent="0.25">
      <c r="A34" s="3" t="s">
        <v>76</v>
      </c>
      <c r="B34" s="40">
        <v>177</v>
      </c>
      <c r="C34" s="40">
        <v>177</v>
      </c>
      <c r="D34" s="40">
        <v>172</v>
      </c>
      <c r="E34" s="40">
        <v>167</v>
      </c>
      <c r="F34" s="40">
        <v>161</v>
      </c>
      <c r="G34" s="40"/>
      <c r="H34" s="40"/>
      <c r="I34" s="40"/>
      <c r="J34" s="40"/>
      <c r="K34" s="40"/>
    </row>
    <row r="35" spans="1:11" x14ac:dyDescent="0.25">
      <c r="A35" s="3" t="s">
        <v>83</v>
      </c>
      <c r="B35" s="15">
        <f>IF(B34&lt;&gt;"",1.341*B34,"")</f>
        <v>237.357</v>
      </c>
      <c r="C35" s="15">
        <f t="shared" ref="C35:K35" si="3">IF(C34&lt;&gt;"",1.341*C34,"")</f>
        <v>237.357</v>
      </c>
      <c r="D35" s="15">
        <f t="shared" si="3"/>
        <v>230.65199999999999</v>
      </c>
      <c r="E35" s="15">
        <f t="shared" si="3"/>
        <v>223.947</v>
      </c>
      <c r="F35" s="15">
        <f t="shared" si="3"/>
        <v>215.90099999999998</v>
      </c>
      <c r="G35" s="15" t="str">
        <f t="shared" si="3"/>
        <v/>
      </c>
      <c r="H35" s="15" t="str">
        <f t="shared" si="3"/>
        <v/>
      </c>
      <c r="I35" s="15" t="str">
        <f t="shared" si="3"/>
        <v/>
      </c>
      <c r="J35" s="15" t="str">
        <f t="shared" si="3"/>
        <v/>
      </c>
      <c r="K35" s="15" t="str">
        <f t="shared" si="3"/>
        <v/>
      </c>
    </row>
    <row r="36" spans="1:11" x14ac:dyDescent="0.25">
      <c r="A36" s="3" t="s">
        <v>4</v>
      </c>
      <c r="B36" s="19">
        <f>IF(ISERR((B41*3^0.5*B40*$E$8)/1000)=FALSE,(B41*3^0.5*B40*$E$8)/1000,"")</f>
        <v>178.40856783741413</v>
      </c>
      <c r="C36" s="19">
        <f t="shared" ref="C36:K36" si="4">IF(ISERR((C41*3^0.5*C40*$E$8)/1000)=FALSE,(C41*3^0.5*C40*$E$8)/1000,"")</f>
        <v>178.0407989875919</v>
      </c>
      <c r="D36" s="19">
        <f t="shared" si="4"/>
        <v>175.22270055460319</v>
      </c>
      <c r="E36" s="19">
        <f t="shared" si="4"/>
        <v>169.37350493301508</v>
      </c>
      <c r="F36" s="19">
        <f t="shared" si="4"/>
        <v>163.51620793244973</v>
      </c>
      <c r="G36" s="19" t="str">
        <f t="shared" si="4"/>
        <v/>
      </c>
      <c r="H36" s="19" t="str">
        <f t="shared" si="4"/>
        <v/>
      </c>
      <c r="I36" s="19" t="str">
        <f t="shared" si="4"/>
        <v/>
      </c>
      <c r="J36" s="19" t="str">
        <f t="shared" si="4"/>
        <v/>
      </c>
      <c r="K36" s="19" t="str">
        <f t="shared" si="4"/>
        <v/>
      </c>
    </row>
    <row r="37" spans="1:11" x14ac:dyDescent="0.25">
      <c r="A37" s="3" t="s">
        <v>7</v>
      </c>
      <c r="B37" s="15">
        <f>IF(B36&lt;&gt;"",1.341*B36,"")</f>
        <v>239.24588946997233</v>
      </c>
      <c r="C37" s="15">
        <f t="shared" ref="C37:K37" si="5">IF(C36&lt;&gt;"",1.341*C36,"")</f>
        <v>238.75271144236072</v>
      </c>
      <c r="D37" s="15">
        <f t="shared" si="5"/>
        <v>234.97364144372287</v>
      </c>
      <c r="E37" s="15">
        <f t="shared" si="5"/>
        <v>227.12987011517322</v>
      </c>
      <c r="F37" s="15">
        <f t="shared" si="5"/>
        <v>219.2752348374151</v>
      </c>
      <c r="G37" s="15" t="str">
        <f t="shared" si="5"/>
        <v/>
      </c>
      <c r="H37" s="15" t="str">
        <f t="shared" si="5"/>
        <v/>
      </c>
      <c r="I37" s="15" t="str">
        <f t="shared" si="5"/>
        <v/>
      </c>
      <c r="J37" s="15" t="str">
        <f t="shared" si="5"/>
        <v/>
      </c>
      <c r="K37" s="15" t="str">
        <f t="shared" si="5"/>
        <v/>
      </c>
    </row>
    <row r="38" spans="1:11" x14ac:dyDescent="0.25">
      <c r="A38" s="3" t="s">
        <v>78</v>
      </c>
      <c r="B38" s="75">
        <f>IF(B25&lt;&gt;"",(10.44*$E$10*B27^(1.85)/($E$14^(1.85)*(($E$11^2-$E$12^2)^0.5)^4.87)),"")</f>
        <v>10.420999677642666</v>
      </c>
      <c r="C38" s="75">
        <f t="shared" ref="C38:F38" si="6">IF(C25&lt;&gt;"",(10.44*$E$10*C27^(1.85)/($E$14^(1.85)*(($E$11^2-$E$12^2)^0.5)^4.87)),"")</f>
        <v>9.7485029332990223</v>
      </c>
      <c r="D38" s="75">
        <f t="shared" si="6"/>
        <v>8.7785441854341624</v>
      </c>
      <c r="E38" s="75">
        <f t="shared" si="6"/>
        <v>7.7499912670894586</v>
      </c>
      <c r="F38" s="75">
        <f t="shared" si="6"/>
        <v>6.6004103801075402</v>
      </c>
      <c r="G38" s="15"/>
      <c r="H38" s="15"/>
      <c r="I38" s="15"/>
      <c r="J38" s="15"/>
      <c r="K38" s="15"/>
    </row>
    <row r="39" spans="1:11" x14ac:dyDescent="0.25">
      <c r="A39" s="3" t="s">
        <v>90</v>
      </c>
      <c r="B39" s="75">
        <f>B38*B27/3960</f>
        <v>2.5263029521557976</v>
      </c>
      <c r="C39" s="75">
        <f t="shared" ref="C39:F39" si="7">C38*C27/3960</f>
        <v>2.2795741707663875</v>
      </c>
      <c r="D39" s="75">
        <f t="shared" si="7"/>
        <v>1.939703576326993</v>
      </c>
      <c r="E39" s="75">
        <f t="shared" si="7"/>
        <v>1.6008820344644388</v>
      </c>
      <c r="F39" s="75">
        <f t="shared" si="7"/>
        <v>1.2500777235052158</v>
      </c>
      <c r="G39" s="15"/>
      <c r="H39" s="15"/>
      <c r="I39" s="15"/>
      <c r="J39" s="15"/>
      <c r="K39" s="15"/>
    </row>
    <row r="40" spans="1:11" x14ac:dyDescent="0.25">
      <c r="A40" s="3" t="s">
        <v>85</v>
      </c>
      <c r="B40" s="15">
        <f>IF(B28&lt;&gt;"",AVERAGE(B28:B30),"")</f>
        <v>242.66666666666666</v>
      </c>
      <c r="C40" s="15">
        <f>IF(C28&lt;&gt;"",AVERAGE(C28:C30),"")</f>
        <v>242.33333333333334</v>
      </c>
      <c r="D40" s="15">
        <f>IF(D28&lt;&gt;"",AVERAGE(D28:D30),"")</f>
        <v>238.33333333333334</v>
      </c>
      <c r="E40" s="15">
        <f>IF(E28&lt;&gt;"",AVERAGE(E28:E30),"")</f>
        <v>231.33333333333334</v>
      </c>
      <c r="F40" s="15">
        <f>IF(F28&lt;&gt;"",AVERAGE(F28:F30),"")</f>
        <v>223.33333333333334</v>
      </c>
      <c r="G40" s="15" t="str">
        <f t="shared" ref="G40:K40" si="8">IF(G28&lt;&gt;"",AVERAGE(G28:G30),"")</f>
        <v/>
      </c>
      <c r="H40" s="15" t="str">
        <f t="shared" si="8"/>
        <v/>
      </c>
      <c r="I40" s="15" t="str">
        <f t="shared" si="8"/>
        <v/>
      </c>
      <c r="J40" s="15" t="str">
        <f t="shared" si="8"/>
        <v/>
      </c>
      <c r="K40" s="15" t="str">
        <f t="shared" si="8"/>
        <v/>
      </c>
    </row>
    <row r="41" spans="1:11" x14ac:dyDescent="0.25">
      <c r="A41" s="20" t="s">
        <v>86</v>
      </c>
      <c r="B41" s="19">
        <f>IF(ISERR(AVERAGE(B31:B33))=FALSE,AVERAGE(B31:B33),"")</f>
        <v>484</v>
      </c>
      <c r="C41" s="19">
        <f>IF(ISERR(AVERAGE(C31:C33))=FALSE,AVERAGE(C31:C33),"")</f>
        <v>483.66666666666669</v>
      </c>
      <c r="D41" s="19">
        <f>IF(ISERR(AVERAGE(D31:D33))=FALSE,AVERAGE(D31:D33),"")</f>
        <v>484</v>
      </c>
      <c r="E41" s="19">
        <f>IF(ISERR(AVERAGE(E31:E33))=FALSE,AVERAGE(E31:E33),"")</f>
        <v>482</v>
      </c>
      <c r="F41" s="19">
        <f>IF(ISERR(AVERAGE(F31:F33))=FALSE,AVERAGE(F31:F33),"")</f>
        <v>482</v>
      </c>
      <c r="G41" s="19" t="str">
        <f t="shared" ref="G41:K41" si="9">IF(ISERR(AVERAGE(G31:G33))=FALSE,AVERAGE(G31:G33),"")</f>
        <v/>
      </c>
      <c r="H41" s="19" t="str">
        <f t="shared" si="9"/>
        <v/>
      </c>
      <c r="I41" s="19" t="str">
        <f t="shared" si="9"/>
        <v/>
      </c>
      <c r="J41" s="19" t="str">
        <f t="shared" si="9"/>
        <v/>
      </c>
      <c r="K41" s="19" t="str">
        <f t="shared" si="9"/>
        <v/>
      </c>
    </row>
    <row r="42" spans="1:11" x14ac:dyDescent="0.25">
      <c r="A42" s="20" t="s">
        <v>59</v>
      </c>
      <c r="B42" s="19">
        <f>IF(B24&lt;&gt;"",(B24-B23),"")</f>
        <v>288</v>
      </c>
      <c r="C42" s="19">
        <f>IF(C24&lt;&gt;"",(C24-C23),"")</f>
        <v>278</v>
      </c>
      <c r="D42" s="19">
        <f>IF(D24&lt;&gt;"",(D24-D23),"")</f>
        <v>264</v>
      </c>
      <c r="E42" s="19">
        <f>IF(E24&lt;&gt;"",(E24-E23),"")</f>
        <v>249</v>
      </c>
      <c r="F42" s="19">
        <f>IF(F24&lt;&gt;"",(F24-F23),"")</f>
        <v>228</v>
      </c>
      <c r="G42" s="19" t="str">
        <f t="shared" ref="G42:K42" si="10">IF(G24&lt;&gt;"",(G24-G23),"")</f>
        <v/>
      </c>
      <c r="H42" s="19" t="str">
        <f t="shared" si="10"/>
        <v/>
      </c>
      <c r="I42" s="19" t="str">
        <f t="shared" si="10"/>
        <v/>
      </c>
      <c r="J42" s="19" t="str">
        <f t="shared" si="10"/>
        <v/>
      </c>
      <c r="K42" s="19" t="str">
        <f t="shared" si="10"/>
        <v/>
      </c>
    </row>
    <row r="43" spans="1:11" x14ac:dyDescent="0.25">
      <c r="A43" s="20" t="s">
        <v>84</v>
      </c>
      <c r="B43" s="76">
        <f>IF(B27&lt;&gt;"",B27/B42,"")</f>
        <v>3.3333333333333335</v>
      </c>
      <c r="C43" s="76">
        <f t="shared" ref="C43:K43" si="11">IF(C27&lt;&gt;"",C27/C42,"")</f>
        <v>3.3309352517985613</v>
      </c>
      <c r="D43" s="76">
        <f t="shared" si="11"/>
        <v>3.3143939393939394</v>
      </c>
      <c r="E43" s="76">
        <f t="shared" si="11"/>
        <v>3.285140562248996</v>
      </c>
      <c r="F43" s="76">
        <f t="shared" si="11"/>
        <v>3.2894736842105261</v>
      </c>
      <c r="G43" s="76" t="str">
        <f t="shared" si="11"/>
        <v/>
      </c>
      <c r="H43" s="76" t="str">
        <f t="shared" si="11"/>
        <v/>
      </c>
      <c r="I43" s="76" t="str">
        <f t="shared" si="11"/>
        <v/>
      </c>
      <c r="J43" s="76" t="str">
        <f t="shared" si="11"/>
        <v/>
      </c>
      <c r="K43" s="76" t="str">
        <f t="shared" si="11"/>
        <v/>
      </c>
    </row>
    <row r="44" spans="1:11" x14ac:dyDescent="0.25">
      <c r="A44" s="3" t="s">
        <v>5</v>
      </c>
      <c r="B44" s="14">
        <f t="shared" ref="B44:K44" si="12">IF(B25&lt;&gt;"",(B25*2.31)+0.4085*B27/$E$11^2+3+B24+(10.44*$E$10*B27^(1.85)/($E$14^(1.85)*(($E$11^2-$E$12^2)^0.5)^4.87)),"")</f>
        <v>749.82259967764264</v>
      </c>
      <c r="C44" s="14">
        <f t="shared" si="12"/>
        <v>771.58221293329905</v>
      </c>
      <c r="D44" s="14">
        <f t="shared" si="12"/>
        <v>800.06291918543411</v>
      </c>
      <c r="E44" s="14">
        <f t="shared" si="12"/>
        <v>830.00152126708952</v>
      </c>
      <c r="F44" s="14">
        <f t="shared" si="12"/>
        <v>860.70416038010751</v>
      </c>
      <c r="G44" s="14" t="str">
        <f t="shared" si="12"/>
        <v/>
      </c>
      <c r="H44" s="14" t="str">
        <f t="shared" si="12"/>
        <v/>
      </c>
      <c r="I44" s="14" t="str">
        <f t="shared" si="12"/>
        <v/>
      </c>
      <c r="J44" s="14" t="str">
        <f t="shared" si="12"/>
        <v/>
      </c>
      <c r="K44" s="14" t="str">
        <f t="shared" si="12"/>
        <v/>
      </c>
    </row>
    <row r="45" spans="1:11" x14ac:dyDescent="0.25">
      <c r="A45" s="3" t="s">
        <v>58</v>
      </c>
      <c r="B45" s="14">
        <f>IF(B27&lt;&gt;"",((B27*1440)/1000000),"")</f>
        <v>1.3824000000000001</v>
      </c>
      <c r="C45" s="14">
        <f>IF(C27&lt;&gt;"",((C27*1440)/1000000),"")</f>
        <v>1.33344</v>
      </c>
      <c r="D45" s="14">
        <f>IF(D27&lt;&gt;"",((D27*1440)/1000000),"")</f>
        <v>1.26</v>
      </c>
      <c r="E45" s="14">
        <f>IF(E27&lt;&gt;"",((E27*1440)/1000000),"")</f>
        <v>1.1779200000000001</v>
      </c>
      <c r="F45" s="14">
        <f>IF(F27&lt;&gt;"",((F27*1440)/1000000),"")</f>
        <v>1.08</v>
      </c>
      <c r="G45" s="14" t="str">
        <f t="shared" ref="G45:K45" si="13">IF(G27&lt;&gt;"",((G27*1440)/1000000),"")</f>
        <v/>
      </c>
      <c r="H45" s="14" t="str">
        <f t="shared" si="13"/>
        <v/>
      </c>
      <c r="I45" s="14" t="str">
        <f t="shared" si="13"/>
        <v/>
      </c>
      <c r="J45" s="14" t="str">
        <f t="shared" si="13"/>
        <v/>
      </c>
      <c r="K45" s="14" t="str">
        <f t="shared" si="13"/>
        <v/>
      </c>
    </row>
    <row r="46" spans="1:11" x14ac:dyDescent="0.25">
      <c r="A46" s="3" t="s">
        <v>82</v>
      </c>
      <c r="B46" s="16">
        <f t="shared" ref="B46:K46" si="14">IF(B35&lt;&gt;"",B44*B27/3960/B35,"")</f>
        <v>0.76583027119245917</v>
      </c>
      <c r="C46" s="16">
        <f t="shared" si="14"/>
        <v>0.7601441612034463</v>
      </c>
      <c r="D46" s="16">
        <f t="shared" si="14"/>
        <v>0.76644286355838409</v>
      </c>
      <c r="E46" s="16">
        <f t="shared" si="14"/>
        <v>0.76558207607617035</v>
      </c>
      <c r="F46" s="16">
        <f t="shared" si="14"/>
        <v>0.75503194328484624</v>
      </c>
      <c r="G46" s="16" t="str">
        <f t="shared" si="14"/>
        <v/>
      </c>
      <c r="H46" s="16" t="str">
        <f t="shared" si="14"/>
        <v/>
      </c>
      <c r="I46" s="16" t="str">
        <f t="shared" si="14"/>
        <v/>
      </c>
      <c r="J46" s="16" t="str">
        <f t="shared" si="14"/>
        <v/>
      </c>
      <c r="K46" s="16" t="str">
        <f t="shared" si="14"/>
        <v/>
      </c>
    </row>
    <row r="47" spans="1:11" x14ac:dyDescent="0.25">
      <c r="A47" s="3" t="s">
        <v>8</v>
      </c>
      <c r="B47" s="16">
        <f>IF(B36&lt;&gt;"",B44*B27/3960/B37,"")</f>
        <v>0.75978390300512599</v>
      </c>
      <c r="C47" s="16">
        <f>IF(C36&lt;&gt;"",C44*C27/3960/C37,"")</f>
        <v>0.7557004759475765</v>
      </c>
      <c r="D47" s="16">
        <f>IF(D36&lt;&gt;"",D44*D27/3960/D37,"")</f>
        <v>0.7523464260897037</v>
      </c>
      <c r="E47" s="16">
        <f>IF(E36&lt;&gt;"",E44*E27/3960/E37,"")</f>
        <v>0.75485363992015309</v>
      </c>
      <c r="F47" s="16">
        <f>IF(F36&lt;&gt;"",F44*F27/3960/F37,"")</f>
        <v>0.74341341696890384</v>
      </c>
      <c r="G47" s="16" t="str">
        <f t="shared" ref="G47:K47" si="15">IF(G36&lt;&gt;"",G44*G27/3960/G37,"")</f>
        <v/>
      </c>
      <c r="H47" s="16" t="str">
        <f t="shared" si="15"/>
        <v/>
      </c>
      <c r="I47" s="16" t="str">
        <f t="shared" si="15"/>
        <v/>
      </c>
      <c r="J47" s="16" t="str">
        <f t="shared" si="15"/>
        <v/>
      </c>
      <c r="K47" s="16" t="str">
        <f t="shared" si="15"/>
        <v/>
      </c>
    </row>
    <row r="48" spans="1:11" x14ac:dyDescent="0.25">
      <c r="A48" s="3" t="s">
        <v>87</v>
      </c>
      <c r="B48" s="19">
        <f>J11-(B44-H11)/(H10-H11)*(J11-J10)</f>
        <v>983.36683954339935</v>
      </c>
      <c r="C48" s="19">
        <f>J11-(C44-H11)/(H10-H11)*(J11-J10)</f>
        <v>949.46059286078412</v>
      </c>
      <c r="D48" s="19">
        <f>J10-(D44-H10)/(H9-H10)*(J10-J9)</f>
        <v>902.48609563130935</v>
      </c>
      <c r="E48" s="19">
        <f>J9-(E44-H9)/(H8-H9)*(J9-J8)</f>
        <v>843.89695746582083</v>
      </c>
      <c r="F48" s="19">
        <f>J8-(F44-H8)/(H7-H8)*(J8-J7)</f>
        <v>773.18978878179905</v>
      </c>
      <c r="G48" s="19"/>
      <c r="H48" s="19"/>
      <c r="I48" s="19"/>
      <c r="J48" s="19"/>
      <c r="K48" s="19"/>
    </row>
    <row r="49" spans="1:11" x14ac:dyDescent="0.25">
      <c r="A49" s="3" t="s">
        <v>88</v>
      </c>
      <c r="B49" s="85">
        <f t="shared" ref="B49:K49" si="16">IF(B48&lt;&gt;"",B27/B48,"")</f>
        <v>0.9762379220004519</v>
      </c>
      <c r="C49" s="85">
        <f t="shared" si="16"/>
        <v>0.97529060917621035</v>
      </c>
      <c r="D49" s="85">
        <f t="shared" si="16"/>
        <v>0.96954402315519084</v>
      </c>
      <c r="E49" s="85">
        <f t="shared" si="16"/>
        <v>0.96931265454068227</v>
      </c>
      <c r="F49" s="85">
        <f t="shared" si="16"/>
        <v>0.97000763704040149</v>
      </c>
      <c r="G49" s="16" t="str">
        <f t="shared" si="16"/>
        <v/>
      </c>
      <c r="H49" s="16" t="str">
        <f t="shared" si="16"/>
        <v/>
      </c>
      <c r="I49" s="16" t="str">
        <f t="shared" si="16"/>
        <v/>
      </c>
      <c r="J49" s="16" t="str">
        <f t="shared" si="16"/>
        <v/>
      </c>
      <c r="K49" s="16" t="str">
        <f t="shared" si="16"/>
        <v/>
      </c>
    </row>
    <row r="50" spans="1:11" x14ac:dyDescent="0.25">
      <c r="B50" s="18"/>
    </row>
  </sheetData>
  <sheetProtection selectLockedCells="1"/>
  <dataConsolidate/>
  <mergeCells count="5">
    <mergeCell ref="A13:B13"/>
    <mergeCell ref="O1:R1"/>
    <mergeCell ref="H1:M1"/>
    <mergeCell ref="A2:B2"/>
    <mergeCell ref="A7:B7"/>
  </mergeCells>
  <dataValidations disablePrompts="1" xWindow="469" yWindow="617" count="1">
    <dataValidation allowBlank="1" showInputMessage="1" showErrorMessage="1" promptTitle="Suction Configuration:" prompt="If the pump DOES NOT pull directly from a reservoir enter the suction header centerline elevation here. Other wise enter &quot;NA&quot;." sqref="B9 B12 E16"/>
  </dataValidations>
  <pageMargins left="0.47" right="0.34" top="0.28999999999999998" bottom="0.17" header="0.26" footer="0.17"/>
  <pageSetup scale="7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DW18</vt:lpstr>
      <vt:lpstr>'DW18'!Print_Area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Spencer Taylor</cp:lastModifiedBy>
  <cp:lastPrinted>2016-04-27T18:47:42Z</cp:lastPrinted>
  <dcterms:created xsi:type="dcterms:W3CDTF">2009-12-21T22:14:30Z</dcterms:created>
  <dcterms:modified xsi:type="dcterms:W3CDTF">2017-05-24T00:33:56Z</dcterms:modified>
</cp:coreProperties>
</file>