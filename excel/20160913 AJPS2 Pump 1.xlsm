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/>
  <workbookPr defaultThemeVersion="153222"/>
  <mc:AlternateContent xmlns:mc="http://schemas.openxmlformats.org/markup-compatibility/2006">
    <mc:Choice Requires="x15">
      <x15ac:absPath xmlns:x15ac="http://schemas.microsoft.com/office/spreadsheetml/2010/11/ac" url="I:\Water Pumping-Storage-Distribution\Pump Stations\Apache Junction\2016-09-13 AJPS2 Eff Test\"/>
    </mc:Choice>
  </mc:AlternateContent>
  <bookViews>
    <workbookView xWindow="0" yWindow="0" windowWidth="19200" windowHeight="6990"/>
  </bookViews>
  <sheets>
    <sheet name="AJPS2 Pump 1" sheetId="1" r:id="rId1"/>
  </sheets>
  <definedNames>
    <definedName name="_xlnm.Print_Area" localSheetId="0">'AJPS2 Pump 1'!$A$1:$L$37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2" i="1" l="1"/>
  <c r="I11" i="1"/>
  <c r="I10" i="1"/>
  <c r="I9" i="1"/>
  <c r="I8" i="1"/>
  <c r="P2" i="1" l="1"/>
  <c r="O2" i="1"/>
  <c r="N2" i="1"/>
  <c r="E16" i="1"/>
  <c r="C37" i="1" l="1"/>
  <c r="D37" i="1"/>
  <c r="E37" i="1"/>
  <c r="F37" i="1"/>
  <c r="G37" i="1"/>
  <c r="H37" i="1"/>
  <c r="I37" i="1"/>
  <c r="J37" i="1"/>
  <c r="K37" i="1"/>
  <c r="B37" i="1"/>
  <c r="A21" i="1" l="1"/>
  <c r="B36" i="1" s="1"/>
  <c r="C36" i="1"/>
  <c r="D36" i="1"/>
  <c r="E36" i="1"/>
  <c r="F36" i="1"/>
  <c r="G36" i="1"/>
  <c r="H36" i="1"/>
  <c r="I36" i="1"/>
  <c r="J36" i="1"/>
  <c r="K36" i="1"/>
  <c r="K35" i="1"/>
  <c r="J35" i="1"/>
  <c r="I35" i="1"/>
  <c r="H35" i="1"/>
  <c r="G35" i="1"/>
  <c r="F35" i="1"/>
  <c r="E35" i="1"/>
  <c r="D35" i="1"/>
  <c r="C35" i="1"/>
  <c r="B35" i="1"/>
  <c r="A35" i="1"/>
  <c r="K34" i="1"/>
  <c r="J34" i="1"/>
  <c r="I34" i="1"/>
  <c r="H34" i="1"/>
  <c r="G34" i="1"/>
  <c r="F34" i="1"/>
  <c r="E34" i="1"/>
  <c r="D34" i="1"/>
  <c r="C34" i="1"/>
  <c r="B34" i="1"/>
  <c r="A34" i="1"/>
  <c r="I7" i="1"/>
  <c r="I6" i="1"/>
  <c r="I5" i="1"/>
  <c r="I4" i="1"/>
  <c r="B3" i="1"/>
  <c r="I3" i="1"/>
  <c r="M1" i="1"/>
  <c r="F32" i="1" l="1"/>
  <c r="F33" i="1" s="1"/>
  <c r="F38" i="1" s="1"/>
  <c r="P7" i="1" s="1"/>
  <c r="J32" i="1"/>
  <c r="J38" i="1" s="1"/>
  <c r="E32" i="1"/>
  <c r="E33" i="1" s="1"/>
  <c r="I32" i="1"/>
  <c r="I38" i="1" s="1"/>
  <c r="G32" i="1"/>
  <c r="K32" i="1"/>
  <c r="K38" i="1" s="1"/>
  <c r="P12" i="1" s="1"/>
  <c r="D32" i="1"/>
  <c r="D33" i="1" s="1"/>
  <c r="H32" i="1"/>
  <c r="N10" i="1"/>
  <c r="O3" i="1"/>
  <c r="C32" i="1"/>
  <c r="B32" i="1"/>
  <c r="O4" i="1"/>
  <c r="O7" i="1"/>
  <c r="O11" i="1"/>
  <c r="N3" i="1"/>
  <c r="N6" i="1"/>
  <c r="N7" i="1"/>
  <c r="N11" i="1"/>
  <c r="N4" i="1"/>
  <c r="N8" i="1"/>
  <c r="N12" i="1"/>
  <c r="N5" i="1"/>
  <c r="O6" i="1"/>
  <c r="O9" i="1"/>
  <c r="O12" i="1"/>
  <c r="N9" i="1"/>
  <c r="O10" i="1"/>
  <c r="O5" i="1"/>
  <c r="O8" i="1"/>
  <c r="K33" i="1"/>
  <c r="P10" i="1"/>
  <c r="I33" i="1"/>
  <c r="P11" i="1"/>
  <c r="J33" i="1"/>
  <c r="G38" i="1" l="1"/>
  <c r="P8" i="1" s="1"/>
  <c r="H38" i="1"/>
  <c r="P9" i="1" s="1"/>
  <c r="E38" i="1"/>
  <c r="P6" i="1" s="1"/>
  <c r="D38" i="1"/>
  <c r="P5" i="1" s="1"/>
  <c r="G33" i="1"/>
  <c r="H33" i="1"/>
  <c r="C33" i="1"/>
  <c r="C38" i="1" s="1"/>
  <c r="P4" i="1" s="1"/>
  <c r="B33" i="1"/>
  <c r="B38" i="1" l="1"/>
  <c r="P3" i="1" s="1"/>
</calcChain>
</file>

<file path=xl/sharedStrings.xml><?xml version="1.0" encoding="utf-8"?>
<sst xmlns="http://schemas.openxmlformats.org/spreadsheetml/2006/main" count="78" uniqueCount="75">
  <si>
    <t>Pump Station / No:</t>
  </si>
  <si>
    <t>Manufacturer Pump Curve</t>
  </si>
  <si>
    <t>Pump Mfr:</t>
  </si>
  <si>
    <t>TDH (ft)</t>
  </si>
  <si>
    <t>Flow (mgd)</t>
  </si>
  <si>
    <t>Flow (gpm)</t>
  </si>
  <si>
    <t>Bowl Eff (%)</t>
  </si>
  <si>
    <t>Test Pt</t>
  </si>
  <si>
    <t>Total Head (ft):</t>
  </si>
  <si>
    <t>Overall Pump Efficiency:</t>
  </si>
  <si>
    <t>Design Point</t>
  </si>
  <si>
    <t>Pump Model:</t>
  </si>
  <si>
    <t>MGD</t>
  </si>
  <si>
    <t>Pump Installed:</t>
  </si>
  <si>
    <t>GPM</t>
  </si>
  <si>
    <t>Motor HP:</t>
  </si>
  <si>
    <t>TDH (FT)</t>
  </si>
  <si>
    <t>Motor Voltage:</t>
  </si>
  <si>
    <t>Motor Installed:</t>
  </si>
  <si>
    <t xml:space="preserve">Elevation Information </t>
  </si>
  <si>
    <t>RPM:</t>
  </si>
  <si>
    <t>Pump Disch Hdr CL Elev (ft):</t>
  </si>
  <si>
    <t>Power Factor:</t>
  </si>
  <si>
    <t>Reservoir Floor Elev (ft):</t>
  </si>
  <si>
    <t>Motor Efficiency:</t>
  </si>
  <si>
    <t>Suction Header CL Elev (ft):</t>
  </si>
  <si>
    <t>NA</t>
  </si>
  <si>
    <t>Service Zone:</t>
  </si>
  <si>
    <t>General Info =</t>
  </si>
  <si>
    <t>Calculated =</t>
  </si>
  <si>
    <t>Test Pump Curve</t>
  </si>
  <si>
    <t>Manual Input from Pump Test =</t>
  </si>
  <si>
    <t>Date:</t>
  </si>
  <si>
    <t>Parameter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</si>
  <si>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</si>
  <si>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</si>
  <si>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</si>
  <si>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</si>
  <si>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</si>
  <si>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</si>
  <si>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</si>
  <si>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</si>
  <si>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Test Pt 9</t>
  </si>
  <si>
    <t>Test Pt 10</t>
  </si>
  <si>
    <t>Time:</t>
  </si>
  <si>
    <t>Disch Press @ Pmp Flg. (psi):</t>
  </si>
  <si>
    <t>Disch Press @ Header (psi):</t>
  </si>
  <si>
    <t>KW Input to Motor:</t>
  </si>
  <si>
    <t>HP Input to Motor:</t>
  </si>
  <si>
    <t>RPM's:</t>
  </si>
  <si>
    <t>Well Static Level (ft from ground)</t>
  </si>
  <si>
    <t>Column Piping Diam (in):</t>
  </si>
  <si>
    <t>Column Piping Len (ft):</t>
  </si>
  <si>
    <t>Flow Conversion Calculator</t>
  </si>
  <si>
    <t>Discharge Flow (GPM):</t>
  </si>
  <si>
    <t>Discharge Flow (MGD):</t>
  </si>
  <si>
    <t>Flow (MGD)</t>
  </si>
  <si>
    <t>Flow (GPM)</t>
  </si>
  <si>
    <t>Amps A:</t>
  </si>
  <si>
    <t>Amps B:</t>
  </si>
  <si>
    <t>Amps C:</t>
  </si>
  <si>
    <t>Volts AB:</t>
  </si>
  <si>
    <t>Volts AC:</t>
  </si>
  <si>
    <t>Volts BC:</t>
  </si>
  <si>
    <r>
      <rPr>
        <i/>
        <sz val="10"/>
        <color theme="1"/>
        <rFont val="Calibri"/>
        <family val="2"/>
        <scheme val="minor"/>
      </rPr>
      <t>If available -</t>
    </r>
    <r>
      <rPr>
        <sz val="11"/>
        <color theme="1"/>
        <rFont val="Calibri"/>
        <family val="2"/>
        <scheme val="minor"/>
      </rPr>
      <t xml:space="preserve"> MegaWatts (MW):</t>
    </r>
  </si>
  <si>
    <t>#1</t>
  </si>
  <si>
    <t>Apache Junction</t>
  </si>
  <si>
    <t>AJPS2</t>
  </si>
  <si>
    <t>FAIRBANKS Nijhuis</t>
  </si>
  <si>
    <t>13F</t>
  </si>
  <si>
    <t>9-13-2016</t>
  </si>
  <si>
    <t>9:50</t>
  </si>
  <si>
    <t>9:55</t>
  </si>
  <si>
    <t>10:00</t>
  </si>
  <si>
    <t>10:05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</si>
</sst>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,##0.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6">
    <xf numFmtId="0" fontId="0" fillId="0" borderId="0" xfId="0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right"/>
    </xf>
    <xf numFmtId="0" fontId="2" fillId="0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5" xfId="0" applyFont="1" applyBorder="1" applyAlignment="1">
      <alignment horizontal="right"/>
    </xf>
    <xf numFmtId="0" fontId="2" fillId="0" borderId="4" xfId="0" applyFont="1" applyBorder="1" applyAlignment="1">
      <alignment horizontal="right"/>
    </xf>
    <xf numFmtId="0" fontId="2" fillId="0" borderId="6" xfId="0" applyFont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2" fontId="3" fillId="2" borderId="4" xfId="0" applyNumberFormat="1" applyFont="1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9" fontId="0" fillId="0" borderId="6" xfId="1" applyFont="1" applyBorder="1" applyAlignment="1">
      <alignment horizontal="center"/>
    </xf>
    <xf numFmtId="9" fontId="0" fillId="0" borderId="0" xfId="1" applyFont="1"/>
    <xf numFmtId="0" fontId="2" fillId="0" borderId="5" xfId="0" applyFont="1" applyBorder="1" applyAlignment="1">
      <alignment horizontal="center"/>
    </xf>
    <xf numFmtId="2" fontId="3" fillId="2" borderId="6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0" xfId="0" applyFont="1"/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7" fillId="0" borderId="0" xfId="0" quotePrefix="1" applyFont="1" applyAlignment="1">
      <alignment horizontal="right"/>
    </xf>
    <xf numFmtId="1" fontId="0" fillId="0" borderId="7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9" fontId="0" fillId="0" borderId="8" xfId="1" applyFont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3" borderId="4" xfId="0" applyFill="1" applyBorder="1" applyAlignment="1">
      <alignment horizontal="center"/>
    </xf>
    <xf numFmtId="49" fontId="2" fillId="0" borderId="10" xfId="0" applyNumberFormat="1" applyFont="1" applyBorder="1" applyAlignment="1">
      <alignment horizontal="right"/>
    </xf>
    <xf numFmtId="4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right"/>
    </xf>
    <xf numFmtId="0" fontId="0" fillId="0" borderId="0" xfId="0" applyBorder="1"/>
    <xf numFmtId="0" fontId="0" fillId="3" borderId="4" xfId="0" applyFill="1" applyBorder="1" applyAlignment="1" applyProtection="1">
      <alignment horizontal="center"/>
      <protection locked="0"/>
    </xf>
    <xf numFmtId="164" fontId="8" fillId="2" borderId="4" xfId="0" applyNumberFormat="1" applyFont="1" applyFill="1" applyBorder="1" applyAlignment="1">
      <alignment horizontal="center"/>
    </xf>
    <xf numFmtId="3" fontId="8" fillId="2" borderId="4" xfId="0" applyNumberFormat="1" applyFont="1" applyFill="1" applyBorder="1" applyAlignment="1">
      <alignment horizontal="center"/>
    </xf>
    <xf numFmtId="0" fontId="0" fillId="0" borderId="4" xfId="0" applyFill="1" applyBorder="1" applyAlignment="1">
      <alignment horizontal="right"/>
    </xf>
    <xf numFmtId="1" fontId="8" fillId="2" borderId="4" xfId="0" applyNumberFormat="1" applyFont="1" applyFill="1" applyBorder="1" applyAlignment="1">
      <alignment horizontal="center"/>
    </xf>
    <xf numFmtId="9" fontId="8" fillId="2" borderId="4" xfId="0" applyNumberFormat="1" applyFont="1" applyFill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3" fontId="2" fillId="4" borderId="6" xfId="0" applyNumberFormat="1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2" fontId="2" fillId="4" borderId="6" xfId="0" applyNumberFormat="1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9" fontId="2" fillId="4" borderId="4" xfId="0" applyNumberFormat="1" applyFont="1" applyFill="1" applyBorder="1" applyAlignment="1">
      <alignment horizontal="center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9" fontId="0" fillId="4" borderId="6" xfId="1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9" fontId="0" fillId="4" borderId="8" xfId="1" applyFont="1" applyFill="1" applyBorder="1" applyAlignment="1">
      <alignment horizontal="center"/>
    </xf>
    <xf numFmtId="4" fontId="8" fillId="2" borderId="4" xfId="0" applyNumberFormat="1" applyFont="1" applyFill="1" applyBorder="1" applyAlignment="1">
      <alignment horizontal="center"/>
    </xf>
    <xf numFmtId="1" fontId="0" fillId="3" borderId="4" xfId="0" applyNumberFormat="1" applyFill="1" applyBorder="1" applyAlignment="1" applyProtection="1">
      <alignment horizontal="center"/>
      <protection locked="0"/>
    </xf>
    <xf numFmtId="0" fontId="2" fillId="4" borderId="4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2" fontId="3" fillId="2" borderId="9" xfId="0" applyNumberFormat="1" applyFont="1" applyFill="1" applyBorder="1" applyAlignment="1">
      <alignment horizontal="center"/>
    </xf>
    <xf numFmtId="164" fontId="0" fillId="3" borderId="4" xfId="0" quotePrefix="1" applyNumberFormat="1" applyFill="1" applyBorder="1" applyAlignment="1" applyProtection="1">
      <alignment horizontal="center"/>
      <protection locked="0"/>
    </xf>
    <xf numFmtId="164" fontId="0" fillId="3" borderId="4" xfId="0" applyNumberFormat="1" applyFill="1" applyBorder="1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2014066401388244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1'!$J$3:$J$12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1'!$H$3:$H$12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88-4A19-AEDC-4C58BB313D8B}"/>
            </c:ext>
          </c:extLst>
        </c:ser>
        <c:ser>
          <c:idx val="2"/>
          <c:order val="1"/>
          <c:tx>
            <c:strRef>
              <c:f>'AJPS2 Pump 1'!$B$16:$B$17</c:f>
              <c:strCache>
                <c:ptCount val="2"/>
                <c:pt idx="0">
                  <c:v>Test Pump Curve</c:v>
                </c:pt>
                <c:pt idx="1">
                  <c:v>9-13-2016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1'!$B$24:$K$24</c:f>
              <c:numCache>
                <c:formatCode>0</c:formatCode>
                <c:ptCount val="10"/>
                <c:pt idx="0">
                  <c:v>1492</c:v>
                </c:pt>
                <c:pt idx="1">
                  <c:v>1272</c:v>
                </c:pt>
                <c:pt idx="2">
                  <c:v>1026</c:v>
                </c:pt>
                <c:pt idx="3">
                  <c:v>572</c:v>
                </c:pt>
              </c:numCache>
            </c:numRef>
          </c:xVal>
          <c:yVal>
            <c:numRef>
              <c:f>'AJPS2 Pump 1'!$B$36:$K$36</c:f>
              <c:numCache>
                <c:formatCode>0.0</c:formatCode>
                <c:ptCount val="10"/>
                <c:pt idx="0">
                  <c:v>111.20000000000027</c:v>
                </c:pt>
                <c:pt idx="1">
                  <c:v>122.95000000000027</c:v>
                </c:pt>
                <c:pt idx="2">
                  <c:v>134.40000000000009</c:v>
                </c:pt>
                <c:pt idx="3">
                  <c:v>145.95000000000005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88-4A19-AEDC-4C58BB313D8B}"/>
            </c:ext>
          </c:extLst>
        </c:ser>
        <c:ser>
          <c:idx val="5"/>
          <c:order val="2"/>
          <c:tx>
            <c:strRef>
              <c:f>'AJPS2 Pump 1'!$A$2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1'!$B$4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1'!$B$5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88-4A19-AEDC-4C58BB313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904184"/>
        <c:axId val="141671352"/>
      </c:scatterChart>
      <c:scatterChart>
        <c:scatterStyle val="smoothMarker"/>
        <c:varyColors val="0"/>
        <c:ser>
          <c:idx val="3"/>
          <c:order val="3"/>
          <c:tx>
            <c:strRef>
              <c:f>'AJPS2 Pump 1'!$K$2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'AJPS2 Pump 1'!$J$3:$J$12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1'!$K$3:$K$12</c:f>
              <c:numCache>
                <c:formatCode>0%</c:formatCode>
                <c:ptCount val="10"/>
                <c:pt idx="1">
                  <c:v>0.68</c:v>
                </c:pt>
                <c:pt idx="2">
                  <c:v>0.72</c:v>
                </c:pt>
                <c:pt idx="3">
                  <c:v>0.76</c:v>
                </c:pt>
                <c:pt idx="4">
                  <c:v>0.77</c:v>
                </c:pt>
                <c:pt idx="5">
                  <c:v>0.75</c:v>
                </c:pt>
                <c:pt idx="6">
                  <c:v>0.63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88-4A19-AEDC-4C58BB313D8B}"/>
            </c:ext>
          </c:extLst>
        </c:ser>
        <c:ser>
          <c:idx val="4"/>
          <c:order val="4"/>
          <c:tx>
            <c:strRef>
              <c:f>'AJPS2 Pump 1'!$A$38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'AJPS2 Pump 1'!$B$24:$K$24</c:f>
              <c:numCache>
                <c:formatCode>0</c:formatCode>
                <c:ptCount val="10"/>
                <c:pt idx="0">
                  <c:v>1492</c:v>
                </c:pt>
                <c:pt idx="1">
                  <c:v>1272</c:v>
                </c:pt>
                <c:pt idx="2">
                  <c:v>1026</c:v>
                </c:pt>
                <c:pt idx="3">
                  <c:v>572</c:v>
                </c:pt>
              </c:numCache>
            </c:numRef>
          </c:xVal>
          <c:yVal>
            <c:numRef>
              <c:f>'AJPS2 Pump 1'!$B$38:$K$38</c:f>
              <c:numCache>
                <c:formatCode>0%</c:formatCode>
                <c:ptCount val="10"/>
                <c:pt idx="0">
                  <c:v>0.7228916209577394</c:v>
                </c:pt>
                <c:pt idx="1">
                  <c:v>0.70652551464905511</c:v>
                </c:pt>
                <c:pt idx="2">
                  <c:v>0.67881252144493831</c:v>
                </c:pt>
                <c:pt idx="3">
                  <c:v>0.49553995065570605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288-4A19-AEDC-4C58BB313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560480"/>
        <c:axId val="141696112"/>
      </c:scatterChart>
      <c:valAx>
        <c:axId val="141904184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41671352"/>
        <c:crosses val="autoZero"/>
        <c:crossBetween val="midCat"/>
      </c:valAx>
      <c:valAx>
        <c:axId val="14167135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904184"/>
        <c:crosses val="autoZero"/>
        <c:crossBetween val="midCat"/>
      </c:valAx>
      <c:valAx>
        <c:axId val="1416961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Efficiency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42560480"/>
        <c:crosses val="max"/>
        <c:crossBetween val="midCat"/>
      </c:valAx>
      <c:valAx>
        <c:axId val="14256048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141696112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4507116259931958"/>
          <c:y val="0.23587613805213298"/>
          <c:w val="0.13918091031304014"/>
          <c:h val="0.6477716008332331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2663206291034454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1'!$J$3:$J$12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1'!$H$3:$H$12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E-44AF-BE82-43A97663FAD4}"/>
            </c:ext>
          </c:extLst>
        </c:ser>
        <c:ser>
          <c:idx val="2"/>
          <c:order val="1"/>
          <c:tx>
            <c:strRef>
              <c:f>'AJPS2 Pump 1'!$B$16:$B$17</c:f>
              <c:strCache>
                <c:ptCount val="2"/>
                <c:pt idx="0">
                  <c:v>Test Pump Curve</c:v>
                </c:pt>
                <c:pt idx="1">
                  <c:v>9-13-2016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1'!$B$24:$K$24</c:f>
              <c:numCache>
                <c:formatCode>0</c:formatCode>
                <c:ptCount val="10"/>
                <c:pt idx="0">
                  <c:v>1492</c:v>
                </c:pt>
                <c:pt idx="1">
                  <c:v>1272</c:v>
                </c:pt>
                <c:pt idx="2">
                  <c:v>1026</c:v>
                </c:pt>
                <c:pt idx="3">
                  <c:v>572</c:v>
                </c:pt>
              </c:numCache>
            </c:numRef>
          </c:xVal>
          <c:yVal>
            <c:numRef>
              <c:f>'AJPS2 Pump 1'!$B$36:$K$36</c:f>
              <c:numCache>
                <c:formatCode>0.0</c:formatCode>
                <c:ptCount val="10"/>
                <c:pt idx="0">
                  <c:v>111.20000000000027</c:v>
                </c:pt>
                <c:pt idx="1">
                  <c:v>122.95000000000027</c:v>
                </c:pt>
                <c:pt idx="2">
                  <c:v>134.40000000000009</c:v>
                </c:pt>
                <c:pt idx="3">
                  <c:v>145.95000000000005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1E-44AF-BE82-43A97663FAD4}"/>
            </c:ext>
          </c:extLst>
        </c:ser>
        <c:ser>
          <c:idx val="5"/>
          <c:order val="2"/>
          <c:tx>
            <c:strRef>
              <c:f>'AJPS2 Pump 1'!$A$2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1'!$B$4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1'!$B$5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1E-44AF-BE82-43A9766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323392"/>
        <c:axId val="144051016"/>
      </c:scatterChart>
      <c:scatterChart>
        <c:scatterStyle val="smoothMarker"/>
        <c:varyColors val="0"/>
        <c:ser>
          <c:idx val="4"/>
          <c:order val="3"/>
          <c:tx>
            <c:strRef>
              <c:f>'AJPS2 Pump 1'!$A$35</c:f>
              <c:strCache>
                <c:ptCount val="1"/>
                <c:pt idx="0">
                  <c:v>Ave. Volts 9-13-2016</c:v>
                </c:pt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triangle"/>
            <c:size val="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'AJPS2 Pump 1'!$B$24:$K$24</c:f>
              <c:numCache>
                <c:formatCode>0</c:formatCode>
                <c:ptCount val="10"/>
                <c:pt idx="0">
                  <c:v>1492</c:v>
                </c:pt>
                <c:pt idx="1">
                  <c:v>1272</c:v>
                </c:pt>
                <c:pt idx="2">
                  <c:v>1026</c:v>
                </c:pt>
                <c:pt idx="3">
                  <c:v>572</c:v>
                </c:pt>
              </c:numCache>
            </c:numRef>
          </c:xVal>
          <c:yVal>
            <c:numRef>
              <c:f>'AJPS2 Pump 1'!$B$35:$K$35</c:f>
              <c:numCache>
                <c:formatCode>0</c:formatCode>
                <c:ptCount val="10"/>
                <c:pt idx="0">
                  <c:v>475</c:v>
                </c:pt>
                <c:pt idx="1">
                  <c:v>475</c:v>
                </c:pt>
                <c:pt idx="2">
                  <c:v>476</c:v>
                </c:pt>
                <c:pt idx="3">
                  <c:v>477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1E-44AF-BE82-43A97663F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52584"/>
        <c:axId val="144051408"/>
      </c:scatterChart>
      <c:valAx>
        <c:axId val="142323392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144051016"/>
        <c:crosses val="autoZero"/>
        <c:crossBetween val="midCat"/>
      </c:valAx>
      <c:valAx>
        <c:axId val="144051016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2323392"/>
        <c:crosses val="autoZero"/>
        <c:crossBetween val="midCat"/>
      </c:valAx>
      <c:valAx>
        <c:axId val="1440514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144052584"/>
        <c:crosses val="max"/>
        <c:crossBetween val="midCat"/>
      </c:valAx>
      <c:valAx>
        <c:axId val="14405258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1440514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5314278266336463"/>
          <c:y val="0.23965328742857619"/>
          <c:w val="0.13098552121978541"/>
          <c:h val="0.6399041258367724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73029648314408613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'AJPS2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1'!$J$3:$J$12</c:f>
              <c:numCache>
                <c:formatCode>General</c:formatCode>
                <c:ptCount val="10"/>
                <c:pt idx="0">
                  <c:v>0</c:v>
                </c:pt>
                <c:pt idx="1">
                  <c:v>960</c:v>
                </c:pt>
                <c:pt idx="2">
                  <c:v>1160</c:v>
                </c:pt>
                <c:pt idx="3">
                  <c:v>1390</c:v>
                </c:pt>
                <c:pt idx="4">
                  <c:v>1625</c:v>
                </c:pt>
                <c:pt idx="5">
                  <c:v>1830</c:v>
                </c:pt>
                <c:pt idx="6">
                  <c:v>2170</c:v>
                </c:pt>
              </c:numCache>
            </c:numRef>
          </c:xVal>
          <c:yVal>
            <c:numRef>
              <c:f>'AJPS2 Pump 1'!$H$3:$H$12</c:f>
              <c:numCache>
                <c:formatCode>General</c:formatCode>
                <c:ptCount val="10"/>
                <c:pt idx="0">
                  <c:v>166</c:v>
                </c:pt>
                <c:pt idx="1">
                  <c:v>142</c:v>
                </c:pt>
                <c:pt idx="2">
                  <c:v>135</c:v>
                </c:pt>
                <c:pt idx="3">
                  <c:v>124</c:v>
                </c:pt>
                <c:pt idx="4">
                  <c:v>113</c:v>
                </c:pt>
                <c:pt idx="5">
                  <c:v>96</c:v>
                </c:pt>
                <c:pt idx="6">
                  <c:v>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B8-4AAF-90AD-C8D0173ADB19}"/>
            </c:ext>
          </c:extLst>
        </c:ser>
        <c:ser>
          <c:idx val="2"/>
          <c:order val="1"/>
          <c:tx>
            <c:strRef>
              <c:f>'AJPS2 Pump 1'!$B$16:$B$17</c:f>
              <c:strCache>
                <c:ptCount val="2"/>
                <c:pt idx="0">
                  <c:v>Test Pump Curve</c:v>
                </c:pt>
                <c:pt idx="1">
                  <c:v>9-13-2016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square"/>
            <c:size val="6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'AJPS2 Pump 1'!$B$24:$K$24</c:f>
              <c:numCache>
                <c:formatCode>0</c:formatCode>
                <c:ptCount val="10"/>
                <c:pt idx="0">
                  <c:v>1492</c:v>
                </c:pt>
                <c:pt idx="1">
                  <c:v>1272</c:v>
                </c:pt>
                <c:pt idx="2">
                  <c:v>1026</c:v>
                </c:pt>
                <c:pt idx="3">
                  <c:v>572</c:v>
                </c:pt>
              </c:numCache>
            </c:numRef>
          </c:xVal>
          <c:yVal>
            <c:numRef>
              <c:f>'AJPS2 Pump 1'!$B$36:$K$36</c:f>
              <c:numCache>
                <c:formatCode>0.0</c:formatCode>
                <c:ptCount val="10"/>
                <c:pt idx="0">
                  <c:v>111.20000000000027</c:v>
                </c:pt>
                <c:pt idx="1">
                  <c:v>122.95000000000027</c:v>
                </c:pt>
                <c:pt idx="2">
                  <c:v>134.40000000000009</c:v>
                </c:pt>
                <c:pt idx="3">
                  <c:v>145.95000000000005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B8-4AAF-90AD-C8D0173ADB19}"/>
            </c:ext>
          </c:extLst>
        </c:ser>
        <c:ser>
          <c:idx val="5"/>
          <c:order val="2"/>
          <c:tx>
            <c:strRef>
              <c:f>'AJPS2 Pump 1'!$A$2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'AJPS2 Pump 1'!$B$4</c:f>
              <c:numCache>
                <c:formatCode>#,##0</c:formatCode>
                <c:ptCount val="1"/>
                <c:pt idx="0">
                  <c:v>1390</c:v>
                </c:pt>
              </c:numCache>
            </c:numRef>
          </c:xVal>
          <c:yVal>
            <c:numRef>
              <c:f>'AJPS2 Pump 1'!$B$5</c:f>
              <c:numCache>
                <c:formatCode>General</c:formatCode>
                <c:ptCount val="1"/>
                <c:pt idx="0">
                  <c:v>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B8-4AAF-90AD-C8D0173A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53368"/>
        <c:axId val="258171800"/>
      </c:scatterChart>
      <c:scatterChart>
        <c:scatterStyle val="smoothMarker"/>
        <c:varyColors val="0"/>
        <c:ser>
          <c:idx val="4"/>
          <c:order val="3"/>
          <c:tx>
            <c:strRef>
              <c:f>'AJPS2 Pump 1'!$A$34</c:f>
              <c:strCache>
                <c:ptCount val="1"/>
                <c:pt idx="0">
                  <c:v>Ave. Amps 9-13-2016</c:v>
                </c:pt>
              </c:strCache>
            </c:strRef>
          </c:tx>
          <c:spPr>
            <a:ln w="28575">
              <a:solidFill>
                <a:schemeClr val="accent1"/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'AJPS2 Pump 1'!$B$24:$K$24</c:f>
              <c:numCache>
                <c:formatCode>0</c:formatCode>
                <c:ptCount val="10"/>
                <c:pt idx="0">
                  <c:v>1492</c:v>
                </c:pt>
                <c:pt idx="1">
                  <c:v>1272</c:v>
                </c:pt>
                <c:pt idx="2">
                  <c:v>1026</c:v>
                </c:pt>
                <c:pt idx="3">
                  <c:v>572</c:v>
                </c:pt>
              </c:numCache>
            </c:numRef>
          </c:xVal>
          <c:yVal>
            <c:numRef>
              <c:f>'AJPS2 Pump 1'!$B$34:$K$34</c:f>
              <c:numCache>
                <c:formatCode>#,##0</c:formatCode>
                <c:ptCount val="10"/>
                <c:pt idx="0">
                  <c:v>65.666666666666671</c:v>
                </c:pt>
                <c:pt idx="1">
                  <c:v>63.333333333333336</c:v>
                </c:pt>
                <c:pt idx="2">
                  <c:v>58</c:v>
                </c:pt>
                <c:pt idx="3">
                  <c:v>48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AB8-4AAF-90AD-C8D0173AD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172584"/>
        <c:axId val="258172192"/>
      </c:scatterChart>
      <c:valAx>
        <c:axId val="144053368"/>
        <c:scaling>
          <c:orientation val="minMax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(GPM)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258171800"/>
        <c:crosses val="autoZero"/>
        <c:crossBetween val="midCat"/>
      </c:valAx>
      <c:valAx>
        <c:axId val="25817180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053368"/>
        <c:crosses val="autoZero"/>
        <c:crossBetween val="midCat"/>
      </c:valAx>
      <c:valAx>
        <c:axId val="2581721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58172584"/>
        <c:crosses val="max"/>
        <c:crossBetween val="midCat"/>
      </c:valAx>
      <c:valAx>
        <c:axId val="25817258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258172192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5031580400064399"/>
          <c:y val="0.23965328742857619"/>
          <c:w val="0.13048462109938122"/>
          <c:h val="0.64368127521321561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0.49948</cdr:x>
      <cdr:y>0.01858</cdr:y>
    </cdr:from>
    <cdr:to>
      <cdr:x>0.62821</cdr:x>
      <cdr:y>0.10765</cdr:y>
    </cdr:to>
    <cdr:sp macro="" textlink="'AJPS2 Pump 1'!$C$1">
      <cdr:nvSpPr>
        <cdr:cNvPr id="4" name="TextBox 3"/>
        <cdr:cNvSpPr txBox="1"/>
      </cdr:nvSpPr>
      <cdr:spPr>
        <a:xfrm xmlns:a="http://schemas.openxmlformats.org/drawingml/2006/main">
          <a:off x="4824139" y="62482"/>
          <a:ext cx="1243319" cy="29948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0.36785</cdr:x>
      <cdr:y>0.01794</cdr:y>
    </cdr:from>
    <cdr:to>
      <cdr:x>0.50517</cdr:x>
      <cdr:y>0.11331</cdr:y>
    </cdr:to>
    <cdr:sp macro="" textlink="'AJPS2 Pump 1'!$B$1">
      <cdr:nvSpPr>
        <cdr:cNvPr id="5" name="TextBox 4"/>
        <cdr:cNvSpPr txBox="1"/>
      </cdr:nvSpPr>
      <cdr:spPr>
        <a:xfrm xmlns:a="http://schemas.openxmlformats.org/drawingml/2006/main">
          <a:off x="3552825" y="6031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29E64BE2-7065-4E49-8FA4-AEC7E7FF579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Efficiency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0.50178</cdr:x>
      <cdr:y>0.00064</cdr:y>
    </cdr:from>
    <cdr:to>
      <cdr:x>0.63051</cdr:x>
      <cdr:y>0.08971</cdr:y>
    </cdr:to>
    <cdr:sp macro="" textlink="'AJPS2 Pump 1'!$C$1">
      <cdr:nvSpPr>
        <cdr:cNvPr id="7" name="TextBox 1"/>
        <cdr:cNvSpPr txBox="1"/>
      </cdr:nvSpPr>
      <cdr:spPr>
        <a:xfrm xmlns:a="http://schemas.openxmlformats.org/drawingml/2006/main">
          <a:off x="4846390" y="2162"/>
          <a:ext cx="1243259" cy="2994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3C1A9D2F-7735-4111-99B3-6D30E7A28CD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0.37311</cdr:x>
      <cdr:y>0</cdr:y>
    </cdr:from>
    <cdr:to>
      <cdr:x>0.51043</cdr:x>
      <cdr:y>0.09538</cdr:y>
    </cdr:to>
    <cdr:sp macro="" textlink="'AJPS2 Pump 1'!$B$1">
      <cdr:nvSpPr>
        <cdr:cNvPr id="8" name="TextBox 2"/>
        <cdr:cNvSpPr txBox="1"/>
      </cdr:nvSpPr>
      <cdr:spPr>
        <a:xfrm xmlns:a="http://schemas.openxmlformats.org/drawingml/2006/main">
          <a:off x="3603625" y="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509CDCB7-B66D-4731-AB80-D6FD4B2836E4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0.44701</cdr:x>
      <cdr:y>0.11993</cdr:y>
    </cdr:from>
    <cdr:to>
      <cdr:x>0.54905</cdr:x>
      <cdr:y>0.19641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317384" y="403229"/>
          <a:ext cx="985538" cy="2571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0.49488</cdr:x>
      <cdr:y>0.00064</cdr:y>
    </cdr:from>
    <cdr:to>
      <cdr:x>0.6236</cdr:x>
      <cdr:y>0.08971</cdr:y>
    </cdr:to>
    <cdr:sp macro="" textlink="'AJPS2 Pump 1'!$C$1">
      <cdr:nvSpPr>
        <cdr:cNvPr id="9" name="TextBox 1"/>
        <cdr:cNvSpPr txBox="1"/>
      </cdr:nvSpPr>
      <cdr:spPr>
        <a:xfrm xmlns:a="http://schemas.openxmlformats.org/drawingml/2006/main">
          <a:off x="4779715" y="2162"/>
          <a:ext cx="1243259" cy="2994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fld id="{BC054F92-B9A1-46DB-8F82-EC6D791F2633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l"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0.36621</cdr:x>
      <cdr:y>0</cdr:y>
    </cdr:from>
    <cdr:to>
      <cdr:x>0.50353</cdr:x>
      <cdr:y>0.09538</cdr:y>
    </cdr:to>
    <cdr:sp macro="" textlink="'AJPS2 Pump 1'!$B$1">
      <cdr:nvSpPr>
        <cdr:cNvPr id="10" name="TextBox 2"/>
        <cdr:cNvSpPr txBox="1"/>
      </cdr:nvSpPr>
      <cdr:spPr>
        <a:xfrm xmlns:a="http://schemas.openxmlformats.org/drawingml/2006/main">
          <a:off x="3536950" y="0"/>
          <a:ext cx="1326311" cy="32069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fld id="{CE538AE7-A26A-4BEE-87AB-727796D4A5D3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 algn="r"/>
            <a:t>AJPS2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41"/>
  <sheetViews>
    <sheetView tabSelected="1" topLeftCell="A16" zoomScaleNormal="100" workbookViewId="0">
      <selection activeCell="F19" sqref="F19"/>
    </sheetView>
  </sheetViews>
  <sheetFormatPr defaultRowHeight="15" x14ac:dyDescent="0.25"/>
  <cols>
    <col min="1" max="1" width="31.140625" bestFit="1" customWidth="1"/>
    <col min="2" max="2" width="16" bestFit="1" customWidth="1"/>
    <col min="3" max="4" width="12.5703125" customWidth="1"/>
    <col min="5" max="5" width="17.42578125" bestFit="1" customWidth="1"/>
    <col min="6" max="6" width="8.85546875" bestFit="1" customWidth="1"/>
    <col min="7" max="8" width="8.42578125" bestFit="1" customWidth="1"/>
    <col min="9" max="10" width="11" bestFit="1" customWidth="1"/>
    <col min="11" max="11" width="11.7109375" bestFit="1" customWidth="1"/>
    <col min="12" max="12" width="3.42578125" customWidth="1"/>
    <col min="13" max="13" width="7" bestFit="1" customWidth="1"/>
    <col min="14" max="14" width="14.42578125" bestFit="1" customWidth="1"/>
    <col min="15" max="15" width="21.7109375" bestFit="1" customWidth="1"/>
    <col min="16" max="16" width="23" bestFit="1" customWidth="1"/>
    <col min="19" max="19" width="10.7109375" customWidth="1"/>
    <col min="20" max="20" width="10.42578125" customWidth="1"/>
    <col min="22" max="22" width="10.28515625" customWidth="1"/>
  </cols>
  <sheetData>
    <row r="1" spans="1:19" ht="21.75" thickBot="1" x14ac:dyDescent="0.4">
      <c r="A1" s="1" t="s">
        <v>0</v>
      </c>
      <c r="B1" s="2" t="s">
        <v>67</v>
      </c>
      <c r="C1" s="3" t="s">
        <v>65</v>
      </c>
      <c r="D1" s="4"/>
      <c r="E1" s="4"/>
      <c r="G1" s="4"/>
      <c r="H1" s="69" t="s">
        <v>1</v>
      </c>
      <c r="I1" s="70"/>
      <c r="J1" s="70"/>
      <c r="K1" s="71"/>
      <c r="M1" s="69" t="str">
        <f>B16&amp;" "&amp;B17&amp;" Transposed for Model Use"</f>
        <v>Test Pump Curve 9-13-2016 Transposed for Model Use</v>
      </c>
      <c r="N1" s="70"/>
      <c r="O1" s="70"/>
      <c r="P1" s="71"/>
    </row>
    <row r="2" spans="1:19" ht="18.75" x14ac:dyDescent="0.25">
      <c r="A2" s="72" t="s">
        <v>10</v>
      </c>
      <c r="B2" s="73"/>
      <c r="D2" s="5" t="s">
        <v>2</v>
      </c>
      <c r="E2" s="53" t="s">
        <v>68</v>
      </c>
      <c r="G2" s="4"/>
      <c r="H2" s="6" t="s">
        <v>3</v>
      </c>
      <c r="I2" s="7" t="s">
        <v>4</v>
      </c>
      <c r="J2" s="8" t="s">
        <v>5</v>
      </c>
      <c r="K2" s="9" t="s">
        <v>6</v>
      </c>
      <c r="M2" s="10" t="s">
        <v>7</v>
      </c>
      <c r="N2" s="11" t="str">
        <f>A36</f>
        <v>Total Head (ft):</v>
      </c>
      <c r="O2" s="11" t="str">
        <f>A37</f>
        <v>Discharge Flow (MGD):</v>
      </c>
      <c r="P2" s="12" t="str">
        <f>A38</f>
        <v>Overall Pump Efficiency:</v>
      </c>
      <c r="Q2" s="13"/>
    </row>
    <row r="3" spans="1:19" ht="15.75" customHeight="1" x14ac:dyDescent="0.25">
      <c r="A3" s="21" t="s">
        <v>56</v>
      </c>
      <c r="B3" s="22">
        <f>B4*1440/1000000</f>
        <v>2.0015999999999998</v>
      </c>
      <c r="D3" s="14" t="s">
        <v>11</v>
      </c>
      <c r="E3" s="53" t="s">
        <v>69</v>
      </c>
      <c r="G3">
        <v>1</v>
      </c>
      <c r="H3" s="63">
        <v>166</v>
      </c>
      <c r="I3" s="15">
        <f t="shared" ref="I3:I12" si="0">IF(J3&lt;&gt;"",J3*1440/1000000,NA())</f>
        <v>0</v>
      </c>
      <c r="J3" s="56">
        <v>0</v>
      </c>
      <c r="K3" s="57"/>
      <c r="M3" s="16">
        <v>1</v>
      </c>
      <c r="N3" s="17">
        <f t="shared" ref="N3:P12" si="1">VLOOKUP(N$2,$A$18:$K$38,1+$M3,FALSE)</f>
        <v>111.20000000000027</v>
      </c>
      <c r="O3" s="18">
        <f t="shared" si="1"/>
        <v>2.1484800000000002</v>
      </c>
      <c r="P3" s="19">
        <f t="shared" si="1"/>
        <v>0.7228916209577394</v>
      </c>
      <c r="Q3" s="20"/>
    </row>
    <row r="4" spans="1:19" ht="15.75" customHeight="1" x14ac:dyDescent="0.25">
      <c r="A4" s="21" t="s">
        <v>57</v>
      </c>
      <c r="B4" s="49">
        <v>1390</v>
      </c>
      <c r="D4" s="14" t="s">
        <v>13</v>
      </c>
      <c r="E4" s="62"/>
      <c r="G4">
        <v>2</v>
      </c>
      <c r="H4" s="63">
        <v>142</v>
      </c>
      <c r="I4" s="15">
        <f t="shared" si="0"/>
        <v>1.3824000000000001</v>
      </c>
      <c r="J4" s="56">
        <v>960</v>
      </c>
      <c r="K4" s="57">
        <v>0.68</v>
      </c>
      <c r="M4" s="16">
        <v>2</v>
      </c>
      <c r="N4" s="17">
        <f t="shared" si="1"/>
        <v>122.95000000000027</v>
      </c>
      <c r="O4" s="18">
        <f t="shared" si="1"/>
        <v>1.83168</v>
      </c>
      <c r="P4" s="19">
        <f t="shared" si="1"/>
        <v>0.70652551464905511</v>
      </c>
      <c r="Q4" s="20"/>
    </row>
    <row r="5" spans="1:19" ht="16.5" customHeight="1" thickBot="1" x14ac:dyDescent="0.3">
      <c r="A5" s="24" t="s">
        <v>16</v>
      </c>
      <c r="B5" s="50">
        <v>124</v>
      </c>
      <c r="C5" s="23"/>
      <c r="D5" s="5" t="s">
        <v>15</v>
      </c>
      <c r="E5" s="53">
        <v>50</v>
      </c>
      <c r="G5">
        <v>3</v>
      </c>
      <c r="H5" s="63">
        <v>135</v>
      </c>
      <c r="I5" s="15">
        <f t="shared" si="0"/>
        <v>1.6704000000000001</v>
      </c>
      <c r="J5" s="56">
        <v>1160</v>
      </c>
      <c r="K5" s="57">
        <v>0.72</v>
      </c>
      <c r="M5" s="16">
        <v>3</v>
      </c>
      <c r="N5" s="17">
        <f t="shared" si="1"/>
        <v>134.40000000000009</v>
      </c>
      <c r="O5" s="18">
        <f t="shared" si="1"/>
        <v>1.4774400000000001</v>
      </c>
      <c r="P5" s="19">
        <f t="shared" si="1"/>
        <v>0.67881252144493831</v>
      </c>
      <c r="Q5" s="20"/>
    </row>
    <row r="6" spans="1:19" ht="15.75" thickBot="1" x14ac:dyDescent="0.3">
      <c r="D6" s="5" t="s">
        <v>17</v>
      </c>
      <c r="E6" s="53">
        <v>480</v>
      </c>
      <c r="G6">
        <v>4</v>
      </c>
      <c r="H6" s="63">
        <v>124</v>
      </c>
      <c r="I6" s="15">
        <f t="shared" si="0"/>
        <v>2.0015999999999998</v>
      </c>
      <c r="J6" s="56">
        <v>1390</v>
      </c>
      <c r="K6" s="57">
        <v>0.76</v>
      </c>
      <c r="M6" s="16">
        <v>4</v>
      </c>
      <c r="N6" s="17">
        <f t="shared" si="1"/>
        <v>145.95000000000005</v>
      </c>
      <c r="O6" s="18">
        <f t="shared" si="1"/>
        <v>0.82368000000000008</v>
      </c>
      <c r="P6" s="19">
        <f t="shared" si="1"/>
        <v>0.49553995065570605</v>
      </c>
      <c r="Q6" s="20"/>
    </row>
    <row r="7" spans="1:19" ht="18.75" x14ac:dyDescent="0.25">
      <c r="A7" s="72" t="s">
        <v>19</v>
      </c>
      <c r="B7" s="73"/>
      <c r="D7" s="14" t="s">
        <v>18</v>
      </c>
      <c r="E7" s="54"/>
      <c r="G7">
        <v>5</v>
      </c>
      <c r="H7" s="63">
        <v>113</v>
      </c>
      <c r="I7" s="15">
        <f t="shared" si="0"/>
        <v>2.34</v>
      </c>
      <c r="J7" s="56">
        <v>1625</v>
      </c>
      <c r="K7" s="57">
        <v>0.77</v>
      </c>
      <c r="M7" s="16">
        <v>5</v>
      </c>
      <c r="N7" s="17" t="str">
        <f t="shared" si="1"/>
        <v/>
      </c>
      <c r="O7" s="18" t="str">
        <f t="shared" si="1"/>
        <v/>
      </c>
      <c r="P7" s="19" t="str">
        <f t="shared" si="1"/>
        <v/>
      </c>
      <c r="Q7" s="20"/>
    </row>
    <row r="8" spans="1:19" s="25" customFormat="1" ht="15" customHeight="1" x14ac:dyDescent="0.25">
      <c r="A8" s="26" t="s">
        <v>21</v>
      </c>
      <c r="B8" s="51">
        <v>1840.92</v>
      </c>
      <c r="D8" s="5" t="s">
        <v>20</v>
      </c>
      <c r="E8" s="53">
        <v>1780</v>
      </c>
      <c r="G8">
        <v>6</v>
      </c>
      <c r="H8" s="63">
        <v>96</v>
      </c>
      <c r="I8" s="15">
        <f t="shared" si="0"/>
        <v>2.6352000000000002</v>
      </c>
      <c r="J8" s="56">
        <v>1830</v>
      </c>
      <c r="K8" s="57">
        <v>0.75</v>
      </c>
      <c r="M8" s="16">
        <v>6</v>
      </c>
      <c r="N8" s="17" t="str">
        <f t="shared" si="1"/>
        <v/>
      </c>
      <c r="O8" s="18" t="str">
        <f t="shared" si="1"/>
        <v/>
      </c>
      <c r="P8" s="19" t="str">
        <f t="shared" si="1"/>
        <v/>
      </c>
      <c r="Q8"/>
      <c r="R8"/>
      <c r="S8"/>
    </row>
    <row r="9" spans="1:19" x14ac:dyDescent="0.25">
      <c r="A9" s="27" t="s">
        <v>23</v>
      </c>
      <c r="B9" s="51">
        <v>1812.87</v>
      </c>
      <c r="D9" s="5" t="s">
        <v>22</v>
      </c>
      <c r="E9" s="53">
        <v>0.8</v>
      </c>
      <c r="G9">
        <v>7</v>
      </c>
      <c r="H9" s="63">
        <v>64</v>
      </c>
      <c r="I9" s="15">
        <f t="shared" si="0"/>
        <v>3.1248</v>
      </c>
      <c r="J9" s="56">
        <v>2170</v>
      </c>
      <c r="K9" s="57">
        <v>0.63</v>
      </c>
      <c r="M9" s="16">
        <v>7</v>
      </c>
      <c r="N9" s="17" t="str">
        <f t="shared" si="1"/>
        <v/>
      </c>
      <c r="O9" s="18" t="str">
        <f t="shared" si="1"/>
        <v/>
      </c>
      <c r="P9" s="19" t="str">
        <f t="shared" si="1"/>
        <v/>
      </c>
    </row>
    <row r="10" spans="1:19" x14ac:dyDescent="0.25">
      <c r="A10" s="27" t="s">
        <v>25</v>
      </c>
      <c r="B10" s="51" t="s">
        <v>26</v>
      </c>
      <c r="C10" s="23"/>
      <c r="D10" s="5" t="s">
        <v>24</v>
      </c>
      <c r="E10" s="53">
        <v>0.9</v>
      </c>
      <c r="G10">
        <v>8</v>
      </c>
      <c r="H10" s="63"/>
      <c r="I10" s="15" t="e">
        <f t="shared" si="0"/>
        <v>#N/A</v>
      </c>
      <c r="J10" s="56"/>
      <c r="K10" s="57"/>
      <c r="M10" s="16">
        <v>8</v>
      </c>
      <c r="N10" s="17" t="str">
        <f t="shared" si="1"/>
        <v/>
      </c>
      <c r="O10" s="18" t="str">
        <f t="shared" si="1"/>
        <v/>
      </c>
      <c r="P10" s="19" t="str">
        <f t="shared" si="1"/>
        <v/>
      </c>
    </row>
    <row r="11" spans="1:19" x14ac:dyDescent="0.25">
      <c r="A11" s="27" t="s">
        <v>50</v>
      </c>
      <c r="B11" s="52" t="s">
        <v>26</v>
      </c>
      <c r="D11" s="13" t="s">
        <v>52</v>
      </c>
      <c r="E11" s="53" t="s">
        <v>26</v>
      </c>
      <c r="G11">
        <v>9</v>
      </c>
      <c r="H11" s="63"/>
      <c r="I11" s="15" t="e">
        <f t="shared" si="0"/>
        <v>#N/A</v>
      </c>
      <c r="J11" s="56"/>
      <c r="K11" s="57"/>
      <c r="M11" s="16">
        <v>9</v>
      </c>
      <c r="N11" s="17" t="str">
        <f t="shared" si="1"/>
        <v/>
      </c>
      <c r="O11" s="18" t="str">
        <f t="shared" si="1"/>
        <v/>
      </c>
      <c r="P11" s="19" t="str">
        <f t="shared" si="1"/>
        <v/>
      </c>
    </row>
    <row r="12" spans="1:19" ht="15.75" thickBot="1" x14ac:dyDescent="0.3">
      <c r="A12" s="28" t="s">
        <v>27</v>
      </c>
      <c r="B12" s="50" t="s">
        <v>66</v>
      </c>
      <c r="D12" s="13" t="s">
        <v>51</v>
      </c>
      <c r="E12" s="53" t="s">
        <v>26</v>
      </c>
      <c r="G12">
        <v>10</v>
      </c>
      <c r="H12" s="64"/>
      <c r="I12" s="65" t="e">
        <f t="shared" si="0"/>
        <v>#N/A</v>
      </c>
      <c r="J12" s="58"/>
      <c r="K12" s="59"/>
      <c r="M12" s="30">
        <v>10</v>
      </c>
      <c r="N12" s="31" t="str">
        <f t="shared" si="1"/>
        <v/>
      </c>
      <c r="O12" s="32" t="str">
        <f t="shared" si="1"/>
        <v/>
      </c>
      <c r="P12" s="33" t="str">
        <f t="shared" si="1"/>
        <v/>
      </c>
    </row>
    <row r="13" spans="1:19" x14ac:dyDescent="0.25">
      <c r="C13" s="23"/>
      <c r="G13" s="23"/>
    </row>
    <row r="14" spans="1:19" x14ac:dyDescent="0.25">
      <c r="C14" s="23"/>
      <c r="D14" s="74" t="s">
        <v>53</v>
      </c>
      <c r="E14" s="75"/>
      <c r="G14" s="23"/>
      <c r="J14" s="29" t="s">
        <v>28</v>
      </c>
      <c r="K14" s="55"/>
    </row>
    <row r="15" spans="1:19" x14ac:dyDescent="0.25">
      <c r="C15" s="23"/>
      <c r="D15" s="7" t="s">
        <v>12</v>
      </c>
      <c r="E15" s="42"/>
      <c r="G15" s="23"/>
      <c r="J15" s="29" t="s">
        <v>29</v>
      </c>
      <c r="K15" s="34"/>
    </row>
    <row r="16" spans="1:19" ht="15.75" x14ac:dyDescent="0.25">
      <c r="A16" s="35"/>
      <c r="B16" s="36" t="s">
        <v>30</v>
      </c>
      <c r="D16" s="7" t="s">
        <v>14</v>
      </c>
      <c r="E16" s="34">
        <f>E15*1000000/1440</f>
        <v>0</v>
      </c>
      <c r="J16" s="29" t="s">
        <v>31</v>
      </c>
      <c r="K16" s="37"/>
    </row>
    <row r="17" spans="1:12" ht="15.75" customHeight="1" x14ac:dyDescent="0.25">
      <c r="A17" s="38" t="s">
        <v>32</v>
      </c>
      <c r="B17" s="39" t="s">
        <v>70</v>
      </c>
      <c r="C17" s="23"/>
      <c r="F17" s="23"/>
    </row>
    <row r="18" spans="1:12" x14ac:dyDescent="0.25">
      <c r="A18" s="8" t="s">
        <v>33</v>
      </c>
      <c r="B18" s="8" t="s">
        <v>34</v>
      </c>
      <c r="C18" s="8" t="s">
        <v>35</v>
      </c>
      <c r="D18" s="8" t="s">
        <v>36</v>
      </c>
      <c r="E18" s="8" t="s">
        <v>37</v>
      </c>
      <c r="F18" s="8" t="s">
        <v>38</v>
      </c>
      <c r="G18" s="8" t="s">
        <v>39</v>
      </c>
      <c r="H18" s="8" t="s">
        <v>40</v>
      </c>
      <c r="I18" s="8" t="s">
        <v>41</v>
      </c>
      <c r="J18" s="8" t="s">
        <v>42</v>
      </c>
      <c r="K18" s="8" t="s">
        <v>43</v>
      </c>
    </row>
    <row r="19" spans="1:12" x14ac:dyDescent="0.25">
      <c r="A19" s="40" t="s">
        <v>44</v>
      </c>
      <c r="B19" s="39" t="s">
        <v>71</v>
      </c>
      <c r="C19" s="39" t="s">
        <v>72</v>
      </c>
      <c r="D19" s="39" t="s">
        <v>73</v>
      </c>
      <c r="E19" s="39" t="s">
        <v>74</v>
      </c>
      <c r="F19" s="39"/>
      <c r="G19" s="39"/>
      <c r="H19" s="39"/>
      <c r="I19" s="39"/>
      <c r="J19" s="39"/>
      <c r="K19" s="39"/>
      <c r="L19" s="41"/>
    </row>
    <row r="20" spans="1:12" x14ac:dyDescent="0.25">
      <c r="A20" s="40" t="s">
        <v>49</v>
      </c>
      <c r="B20" s="42">
        <v>1781</v>
      </c>
      <c r="C20" s="42">
        <v>1782</v>
      </c>
      <c r="D20" s="42">
        <v>1781</v>
      </c>
      <c r="E20" s="42">
        <v>1781</v>
      </c>
      <c r="F20" s="39"/>
      <c r="G20" s="42"/>
      <c r="H20" s="42"/>
      <c r="I20" s="42"/>
      <c r="J20" s="42"/>
      <c r="K20" s="42"/>
      <c r="L20" s="41"/>
    </row>
    <row r="21" spans="1:12" x14ac:dyDescent="0.25">
      <c r="A21" s="40" t="str">
        <f>IF(AND(B10="NA",B11="NA",ISNUMBER(B9)),"Reservoir Level (ft):",IF(AND(B9="NA",B11="NA",ISNUMBER(B10)),"Suction Pressure (psi):",IF(AND(B9="NA",B10="NA",ISNUMBER(B11)),"Pumping Water Level (ft):","Error Suction Configuration")))</f>
        <v>Reservoir Level (ft):</v>
      </c>
      <c r="B21" s="66">
        <v>20.8</v>
      </c>
      <c r="C21" s="66">
        <v>20.6</v>
      </c>
      <c r="D21" s="66">
        <v>20.7</v>
      </c>
      <c r="E21" s="66">
        <v>20.7</v>
      </c>
      <c r="F21" s="39"/>
      <c r="G21" s="66"/>
      <c r="H21" s="66"/>
      <c r="I21" s="66"/>
      <c r="J21" s="66"/>
      <c r="K21" s="66"/>
      <c r="L21" s="41"/>
    </row>
    <row r="22" spans="1:12" x14ac:dyDescent="0.25">
      <c r="A22" s="40" t="s">
        <v>45</v>
      </c>
      <c r="B22" s="67">
        <v>45</v>
      </c>
      <c r="C22" s="67">
        <v>50</v>
      </c>
      <c r="D22" s="67">
        <v>55</v>
      </c>
      <c r="E22" s="67">
        <v>60</v>
      </c>
      <c r="F22" s="39"/>
      <c r="G22" s="67"/>
      <c r="H22" s="67"/>
      <c r="I22" s="67"/>
      <c r="J22" s="67"/>
      <c r="K22" s="67"/>
      <c r="L22" s="41"/>
    </row>
    <row r="23" spans="1:12" x14ac:dyDescent="0.25">
      <c r="A23" s="40" t="s">
        <v>46</v>
      </c>
      <c r="B23" s="67">
        <v>40</v>
      </c>
      <c r="C23" s="67">
        <v>39.299999999999997</v>
      </c>
      <c r="D23" s="67">
        <v>39.6</v>
      </c>
      <c r="E23" s="67">
        <v>38.200000000000003</v>
      </c>
      <c r="F23" s="39"/>
      <c r="G23" s="67"/>
      <c r="H23" s="67"/>
      <c r="I23" s="67"/>
      <c r="J23" s="67"/>
      <c r="K23" s="67"/>
      <c r="L23" s="41"/>
    </row>
    <row r="24" spans="1:12" x14ac:dyDescent="0.25">
      <c r="A24" s="40" t="s">
        <v>54</v>
      </c>
      <c r="B24" s="61">
        <v>1492</v>
      </c>
      <c r="C24" s="61">
        <v>1272</v>
      </c>
      <c r="D24" s="61">
        <v>1026</v>
      </c>
      <c r="E24" s="61">
        <v>572</v>
      </c>
      <c r="F24" s="39"/>
      <c r="G24" s="61"/>
      <c r="H24" s="61"/>
      <c r="I24" s="61"/>
      <c r="J24" s="61"/>
      <c r="K24" s="61"/>
    </row>
    <row r="25" spans="1:12" x14ac:dyDescent="0.25">
      <c r="A25" s="40" t="s">
        <v>58</v>
      </c>
      <c r="B25" s="67">
        <v>64</v>
      </c>
      <c r="C25" s="67">
        <v>62</v>
      </c>
      <c r="D25" s="67">
        <v>57</v>
      </c>
      <c r="E25" s="67">
        <v>47</v>
      </c>
      <c r="F25" s="39"/>
      <c r="G25" s="67"/>
      <c r="H25" s="67"/>
      <c r="I25" s="67"/>
      <c r="J25" s="67"/>
      <c r="K25" s="67"/>
    </row>
    <row r="26" spans="1:12" x14ac:dyDescent="0.25">
      <c r="A26" s="40" t="s">
        <v>59</v>
      </c>
      <c r="B26" s="42">
        <v>66</v>
      </c>
      <c r="C26" s="42">
        <v>64</v>
      </c>
      <c r="D26" s="42">
        <v>58</v>
      </c>
      <c r="E26" s="42">
        <v>48</v>
      </c>
      <c r="F26" s="39"/>
      <c r="G26" s="42"/>
      <c r="H26" s="42"/>
      <c r="I26" s="42"/>
      <c r="J26" s="42"/>
      <c r="K26" s="42"/>
    </row>
    <row r="27" spans="1:12" x14ac:dyDescent="0.25">
      <c r="A27" s="40" t="s">
        <v>60</v>
      </c>
      <c r="B27" s="42">
        <v>67</v>
      </c>
      <c r="C27" s="42">
        <v>64</v>
      </c>
      <c r="D27" s="42">
        <v>59</v>
      </c>
      <c r="E27" s="42">
        <v>49</v>
      </c>
      <c r="F27" s="39"/>
      <c r="G27" s="42"/>
      <c r="H27" s="42"/>
      <c r="I27" s="42"/>
      <c r="J27" s="42"/>
      <c r="K27" s="42"/>
    </row>
    <row r="28" spans="1:12" x14ac:dyDescent="0.25">
      <c r="A28" s="40" t="s">
        <v>61</v>
      </c>
      <c r="B28" s="42">
        <v>475</v>
      </c>
      <c r="C28" s="42">
        <v>475</v>
      </c>
      <c r="D28" s="42">
        <v>476</v>
      </c>
      <c r="E28" s="42">
        <v>477</v>
      </c>
      <c r="F28" s="39"/>
      <c r="G28" s="42"/>
      <c r="H28" s="42"/>
      <c r="I28" s="42"/>
      <c r="J28" s="42"/>
      <c r="K28" s="42"/>
    </row>
    <row r="29" spans="1:12" x14ac:dyDescent="0.25">
      <c r="A29" s="40" t="s">
        <v>62</v>
      </c>
      <c r="B29" s="42">
        <v>475</v>
      </c>
      <c r="C29" s="42">
        <v>475</v>
      </c>
      <c r="D29" s="42">
        <v>476</v>
      </c>
      <c r="E29" s="42">
        <v>477</v>
      </c>
      <c r="F29" s="39"/>
      <c r="G29" s="42"/>
      <c r="H29" s="42"/>
      <c r="I29" s="42"/>
      <c r="J29" s="42"/>
      <c r="K29" s="42"/>
    </row>
    <row r="30" spans="1:12" x14ac:dyDescent="0.25">
      <c r="A30" s="40" t="s">
        <v>63</v>
      </c>
      <c r="B30" s="42">
        <v>475</v>
      </c>
      <c r="C30" s="42">
        <v>475</v>
      </c>
      <c r="D30" s="42">
        <v>476</v>
      </c>
      <c r="E30" s="42">
        <v>477</v>
      </c>
      <c r="F30" s="39"/>
      <c r="G30" s="42"/>
      <c r="H30" s="42"/>
      <c r="I30" s="42"/>
      <c r="J30" s="42"/>
      <c r="K30" s="42"/>
    </row>
    <row r="31" spans="1:12" x14ac:dyDescent="0.25">
      <c r="A31" s="40" t="s">
        <v>64</v>
      </c>
      <c r="B31" s="68"/>
      <c r="C31" s="68"/>
      <c r="D31" s="68"/>
      <c r="E31" s="68"/>
      <c r="F31" s="68"/>
      <c r="G31" s="68"/>
      <c r="H31" s="68"/>
      <c r="I31" s="68"/>
      <c r="J31" s="68"/>
      <c r="K31" s="68"/>
    </row>
    <row r="32" spans="1:12" x14ac:dyDescent="0.25">
      <c r="A32" s="40" t="s">
        <v>47</v>
      </c>
      <c r="B32" s="43">
        <f t="shared" ref="B32:K32" si="2">IF(ISERR((B35*B34*$E$9*1.732)/1000)=FALSE,(B35*B34*$E$9*1.732)/1000,"")</f>
        <v>43.219173333333337</v>
      </c>
      <c r="C32" s="43">
        <f t="shared" si="2"/>
        <v>41.683466666666675</v>
      </c>
      <c r="D32" s="43">
        <f t="shared" si="2"/>
        <v>38.253644800000004</v>
      </c>
      <c r="E32" s="43">
        <f t="shared" si="2"/>
        <v>31.724697599999999</v>
      </c>
      <c r="F32" s="43" t="str">
        <f t="shared" si="2"/>
        <v/>
      </c>
      <c r="G32" s="43" t="str">
        <f t="shared" si="2"/>
        <v/>
      </c>
      <c r="H32" s="43" t="str">
        <f t="shared" si="2"/>
        <v/>
      </c>
      <c r="I32" s="43" t="str">
        <f t="shared" si="2"/>
        <v/>
      </c>
      <c r="J32" s="43" t="str">
        <f t="shared" si="2"/>
        <v/>
      </c>
      <c r="K32" s="43" t="str">
        <f t="shared" si="2"/>
        <v/>
      </c>
    </row>
    <row r="33" spans="1:11" x14ac:dyDescent="0.25">
      <c r="A33" s="40" t="s">
        <v>48</v>
      </c>
      <c r="B33" s="44">
        <f>IF(B32&lt;&gt;"",1.341*B32,"")</f>
        <v>57.956911440000006</v>
      </c>
      <c r="C33" s="44">
        <f t="shared" ref="C33:K33" si="3">IF(C32&lt;&gt;"",1.341*C32,"")</f>
        <v>55.897528800000011</v>
      </c>
      <c r="D33" s="44">
        <f t="shared" si="3"/>
        <v>51.298137676800003</v>
      </c>
      <c r="E33" s="44">
        <f t="shared" si="3"/>
        <v>42.542819481599999</v>
      </c>
      <c r="F33" s="44" t="str">
        <f t="shared" si="3"/>
        <v/>
      </c>
      <c r="G33" s="44" t="str">
        <f t="shared" si="3"/>
        <v/>
      </c>
      <c r="H33" s="44" t="str">
        <f t="shared" si="3"/>
        <v/>
      </c>
      <c r="I33" s="44" t="str">
        <f t="shared" si="3"/>
        <v/>
      </c>
      <c r="J33" s="44" t="str">
        <f t="shared" si="3"/>
        <v/>
      </c>
      <c r="K33" s="44" t="str">
        <f t="shared" si="3"/>
        <v/>
      </c>
    </row>
    <row r="34" spans="1:11" x14ac:dyDescent="0.25">
      <c r="A34" s="40" t="str">
        <f>"Ave. Amps "  &amp; B17</f>
        <v>Ave. Amps 9-13-2016</v>
      </c>
      <c r="B34" s="44">
        <f>IF(B25&lt;&gt;"",AVERAGE(B25:B27),"")</f>
        <v>65.666666666666671</v>
      </c>
      <c r="C34" s="44">
        <f t="shared" ref="C34:K34" si="4">IF(C25&lt;&gt;"",AVERAGE(C25:C27),"")</f>
        <v>63.333333333333336</v>
      </c>
      <c r="D34" s="44">
        <f t="shared" si="4"/>
        <v>58</v>
      </c>
      <c r="E34" s="44">
        <f t="shared" si="4"/>
        <v>48</v>
      </c>
      <c r="F34" s="44" t="str">
        <f t="shared" si="4"/>
        <v/>
      </c>
      <c r="G34" s="44" t="str">
        <f t="shared" si="4"/>
        <v/>
      </c>
      <c r="H34" s="44" t="str">
        <f t="shared" si="4"/>
        <v/>
      </c>
      <c r="I34" s="44" t="str">
        <f t="shared" si="4"/>
        <v/>
      </c>
      <c r="J34" s="44" t="str">
        <f t="shared" si="4"/>
        <v/>
      </c>
      <c r="K34" s="44" t="str">
        <f t="shared" si="4"/>
        <v/>
      </c>
    </row>
    <row r="35" spans="1:11" x14ac:dyDescent="0.25">
      <c r="A35" s="45" t="str">
        <f>"Ave. Volts "&amp; B17</f>
        <v>Ave. Volts 9-13-2016</v>
      </c>
      <c r="B35" s="46">
        <f>IF(ISERR(AVERAGE(B28:B30))=FALSE,AVERAGE(B28:B30),"")</f>
        <v>475</v>
      </c>
      <c r="C35" s="46">
        <f t="shared" ref="C35:K35" si="5">IF(ISERR(AVERAGE(C28:C30))=FALSE,AVERAGE(C28:C30),"")</f>
        <v>475</v>
      </c>
      <c r="D35" s="46">
        <f t="shared" si="5"/>
        <v>476</v>
      </c>
      <c r="E35" s="46">
        <f t="shared" si="5"/>
        <v>477</v>
      </c>
      <c r="F35" s="46" t="str">
        <f t="shared" si="5"/>
        <v/>
      </c>
      <c r="G35" s="46" t="str">
        <f t="shared" si="5"/>
        <v/>
      </c>
      <c r="H35" s="46" t="str">
        <f t="shared" si="5"/>
        <v/>
      </c>
      <c r="I35" s="46" t="str">
        <f t="shared" si="5"/>
        <v/>
      </c>
      <c r="J35" s="46" t="str">
        <f t="shared" si="5"/>
        <v/>
      </c>
      <c r="K35" s="46" t="str">
        <f t="shared" si="5"/>
        <v/>
      </c>
    </row>
    <row r="36" spans="1:11" x14ac:dyDescent="0.25">
      <c r="A36" s="40" t="s">
        <v>8</v>
      </c>
      <c r="B36" s="43">
        <f>IF(B22="","",IF(LEFT($A$21,5)="Error","Suction Type?",IF(LEFT($A$21,5)="Reser",(B22*2.31+$B$8)-(B21+$B$9),IF(LEFT($A$21,5)="Sucti",(B22*2.31+$B$8)-((B21*2.31)+$B$10),IF(LEFT($A$21,5)="Pumpi",(B22*2.31)+(B21)+(10.44*E11*B24^(1.85)/(120^(1.85)*E12^(4.87))))))))</f>
        <v>111.20000000000027</v>
      </c>
      <c r="C36" s="43">
        <f t="shared" ref="C36:K36" si="6">IF(C22="","",IF(LEFT($A$21,5)="Error","Suction Type?",IF(LEFT($A$21,5)="Reser",(C22*2.31+$B$8)-(C21+$B$9),IF(LEFT($A$21,5)="Sucti",(C22*2.31+$B$8)-((C21*2.31)+$B$10),IF(LEFT($A$21,5)="Pumpi",(C22*2.31)+(C21))))))</f>
        <v>122.95000000000027</v>
      </c>
      <c r="D36" s="43">
        <f t="shared" si="6"/>
        <v>134.40000000000009</v>
      </c>
      <c r="E36" s="43">
        <f t="shared" si="6"/>
        <v>145.95000000000005</v>
      </c>
      <c r="F36" s="43" t="str">
        <f t="shared" si="6"/>
        <v/>
      </c>
      <c r="G36" s="43" t="str">
        <f t="shared" si="6"/>
        <v/>
      </c>
      <c r="H36" s="43" t="str">
        <f t="shared" si="6"/>
        <v/>
      </c>
      <c r="I36" s="43" t="str">
        <f t="shared" si="6"/>
        <v/>
      </c>
      <c r="J36" s="43" t="str">
        <f t="shared" si="6"/>
        <v/>
      </c>
      <c r="K36" s="43" t="str">
        <f t="shared" si="6"/>
        <v/>
      </c>
    </row>
    <row r="37" spans="1:11" x14ac:dyDescent="0.25">
      <c r="A37" s="40" t="s">
        <v>55</v>
      </c>
      <c r="B37" s="60">
        <f>IF(B24="","",B24/1000000*1440)</f>
        <v>2.1484800000000002</v>
      </c>
      <c r="C37" s="60">
        <f t="shared" ref="C37:K37" si="7">IF(C24="","",C24/1000000*1440)</f>
        <v>1.83168</v>
      </c>
      <c r="D37" s="60">
        <f t="shared" si="7"/>
        <v>1.4774400000000001</v>
      </c>
      <c r="E37" s="60">
        <f t="shared" si="7"/>
        <v>0.82368000000000008</v>
      </c>
      <c r="F37" s="60" t="str">
        <f t="shared" si="7"/>
        <v/>
      </c>
      <c r="G37" s="60" t="str">
        <f t="shared" si="7"/>
        <v/>
      </c>
      <c r="H37" s="60" t="str">
        <f t="shared" si="7"/>
        <v/>
      </c>
      <c r="I37" s="60" t="str">
        <f t="shared" si="7"/>
        <v/>
      </c>
      <c r="J37" s="60" t="str">
        <f t="shared" si="7"/>
        <v/>
      </c>
      <c r="K37" s="60" t="str">
        <f t="shared" si="7"/>
        <v/>
      </c>
    </row>
    <row r="38" spans="1:11" x14ac:dyDescent="0.25">
      <c r="A38" s="40" t="s">
        <v>9</v>
      </c>
      <c r="B38" s="47">
        <f>IF(B32&lt;&gt;"",B36*B24/3960/B33,"")</f>
        <v>0.7228916209577394</v>
      </c>
      <c r="C38" s="47">
        <f t="shared" ref="C38:K38" si="8">IF(C32&lt;&gt;"",C36*C24/3960/C33,"")</f>
        <v>0.70652551464905511</v>
      </c>
      <c r="D38" s="47">
        <f t="shared" si="8"/>
        <v>0.67881252144493831</v>
      </c>
      <c r="E38" s="47">
        <f t="shared" si="8"/>
        <v>0.49553995065570605</v>
      </c>
      <c r="F38" s="47" t="str">
        <f t="shared" si="8"/>
        <v/>
      </c>
      <c r="G38" s="47" t="str">
        <f t="shared" si="8"/>
        <v/>
      </c>
      <c r="H38" s="47" t="str">
        <f t="shared" si="8"/>
        <v/>
      </c>
      <c r="I38" s="47" t="str">
        <f t="shared" si="8"/>
        <v/>
      </c>
      <c r="J38" s="47" t="str">
        <f t="shared" si="8"/>
        <v/>
      </c>
      <c r="K38" s="47" t="str">
        <f t="shared" si="8"/>
        <v/>
      </c>
    </row>
    <row r="40" spans="1:11" x14ac:dyDescent="0.25">
      <c r="B40" s="48"/>
    </row>
    <row r="41" spans="1:11" x14ac:dyDescent="0.25">
      <c r="B41" s="48"/>
    </row>
  </sheetData>
  <sheetProtection selectLockedCells="1"/>
  <dataConsolidate/>
  <mergeCells count="5">
    <mergeCell ref="H1:K1"/>
    <mergeCell ref="M1:P1"/>
    <mergeCell ref="A2:B2"/>
    <mergeCell ref="A7:B7"/>
    <mergeCell ref="D14:E14"/>
  </mergeCells>
  <dataValidations xWindow="262" yWindow="472" count="2">
    <dataValidation allowBlank="1" showInputMessage="1" showErrorMessage="1" promptTitle="Suction Configuration:" prompt="If the pump pulls directly from a reservoir enter the reservoir bottom elevation here. Other wise enter &quot;NA&quot;." sqref="B9:B10"/>
    <dataValidation allowBlank="1" showInputMessage="1" showErrorMessage="1" promptTitle="Suction Configuration:" prompt="If the pump is NOT a well pump enter &quot;NA&quot;." sqref="B11"/>
  </dataValidations>
  <pageMargins left="0.47" right="0.34" top="0.28999999999999998" bottom="0.17" header="0.26" footer="0.17"/>
  <pageSetup scale="77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AJPS2 Pump 1</vt:lpstr>
      <vt:lpstr>'AJPS2 Pump 1'!Print_Area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Spencer Taylor</dc:creator>
  <cp:lastModifiedBy>Spencer Taylor</cp:lastModifiedBy>
  <dcterms:created xsi:type="dcterms:W3CDTF">2016-04-26T22:43:57Z</dcterms:created>
  <dcterms:modified xsi:type="dcterms:W3CDTF">2016-11-23T16:23:24Z</dcterms:modified>
</cp:coreProperties>
</file>